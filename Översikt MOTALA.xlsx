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46256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46256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46256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46256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46256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46256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46256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46256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46256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46256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46256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46256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46256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46256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46256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46256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46256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46256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46256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46256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46256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46256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46256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46256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46256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46256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Vätteros
Nattviol</t>
        </is>
      </c>
      <c r="W27">
        <f>HYPERLINK("https://klasma.github.io/Logging_0583/artfynd/A 48392-2024 artfynd.xlsx", "A 48392-2024")</f>
        <v/>
      </c>
      <c r="X27">
        <f>HYPERLINK("https://klasma.github.io/Logging_0583/kartor/A 48392-2024 karta.png", "A 48392-2024")</f>
        <v/>
      </c>
      <c r="Y27">
        <f>HYPERLINK("https://klasma.github.io/Logging_0583/kartor_geotiff/A 48392-2024 georefererad karta.tif", "A 48392-2024")</f>
        <v/>
      </c>
      <c r="AA27">
        <f>HYPERLINK("https://klasma.github.io/Logging_0583/klagomål/A 48392-2024 FSC-klagomål.docx", "A 48392-2024")</f>
        <v/>
      </c>
      <c r="AB27">
        <f>HYPERLINK("https://klasma.github.io/Logging_0583/klagomålsmail/A 48392-2024 FSC-klagomål mail.docx", "A 48392-2024")</f>
        <v/>
      </c>
      <c r="AC27">
        <f>HYPERLINK("https://klasma.github.io/Logging_0583/tillsyn/A 48392-2024 tillsynsbegäran.docx", "A 48392-2024")</f>
        <v/>
      </c>
      <c r="AD27">
        <f>HYPERLINK("https://klasma.github.io/Logging_0583/tillsynsmail/A 48392-2024 tillsynsbegäran mail.docx", "A 48392-2024")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46256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46256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Tibast
Blåsippa</t>
        </is>
      </c>
      <c r="W29">
        <f>HYPERLINK("https://klasma.github.io/Logging_0583/artfynd/A 27887-2026 artfynd.xlsx", "A 27887-2026")</f>
        <v/>
      </c>
      <c r="X29">
        <f>HYPERLINK("https://klasma.github.io/Logging_0583/kartor/A 27887-2026 karta.png", "A 27887-2026")</f>
        <v/>
      </c>
      <c r="Y29">
        <f>HYPERLINK("https://klasma.github.io/Logging_0583/kartor_geotiff/A 27887-2026 georefererad karta.tif", "A 27887-2026")</f>
        <v/>
      </c>
      <c r="AA29">
        <f>HYPERLINK("https://klasma.github.io/Logging_0583/klagomål/A 27887-2026 FSC-klagomål.docx", "A 27887-2026")</f>
        <v/>
      </c>
      <c r="AB29">
        <f>HYPERLINK("https://klasma.github.io/Logging_0583/klagomålsmail/A 27887-2026 FSC-klagomål mail.docx", "A 27887-2026")</f>
        <v/>
      </c>
      <c r="AC29">
        <f>HYPERLINK("https://klasma.github.io/Logging_0583/tillsyn/A 27887-2026 tillsynsbegäran.docx", "A 27887-2026")</f>
        <v/>
      </c>
      <c r="AD29">
        <f>HYPERLINK("https://klasma.github.io/Logging_0583/tillsynsmail/A 27887-2026 tillsynsbegäran mail.docx", "A 27887-2026")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46256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30955-2023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46256</v>
      </c>
      <c r="F31" t="inlineStr">
        <is>
          <t>ÖSTERGÖTLANDS LÄN</t>
        </is>
      </c>
      <c r="G31" t="inlineStr">
        <is>
          <t>MOTALA</t>
        </is>
      </c>
      <c r="H31" t="inlineStr">
        <is>
          <t>Övriga statliga verk och myndigheter</t>
        </is>
      </c>
      <c r="I31" t="n">
        <v>7.5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Sparvuggla
Tjäder</t>
        </is>
      </c>
      <c r="W31">
        <f>HYPERLINK("https://klasma.github.io/Logging_0583/artfynd/A 30955-2023 artfynd.xlsx", "A 30955-2023")</f>
        <v/>
      </c>
      <c r="X31">
        <f>HYPERLINK("https://klasma.github.io/Logging_0583/kartor/A 30955-2023 karta.png", "A 30955-2023")</f>
        <v/>
      </c>
      <c r="Y31">
        <f>HYPERLINK("https://klasma.github.io/Logging_0583/kartor_geotiff/A 30955-2023 georefererad karta.tif", "A 30955-2023")</f>
        <v/>
      </c>
      <c r="AA31">
        <f>HYPERLINK("https://klasma.github.io/Logging_0583/klagomål/A 30955-2023 FSC-klagomål.docx", "A 30955-2023")</f>
        <v/>
      </c>
      <c r="AB31">
        <f>HYPERLINK("https://klasma.github.io/Logging_0583/klagomålsmail/A 30955-2023 FSC-klagomål mail.docx", "A 30955-2023")</f>
        <v/>
      </c>
      <c r="AC31">
        <f>HYPERLINK("https://klasma.github.io/Logging_0583/tillsyn/A 30955-2023 tillsynsbegäran.docx", "A 30955-2023")</f>
        <v/>
      </c>
      <c r="AD31">
        <f>HYPERLINK("https://klasma.github.io/Logging_0583/tillsynsmail/A 30955-2023 tillsynsbegäran mail.docx", "A 30955-2023")</f>
        <v/>
      </c>
      <c r="AE31">
        <f>HYPERLINK("https://klasma.github.io/Logging_0583/fåglar/A 30955-2023 prioriterade fågelarter.docx", "A 30955-2023")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46256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46256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46256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46256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46256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46256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46256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46256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18729-2025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45763</v>
      </c>
      <c r="E40" s="1" t="n">
        <v>46256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HYPERLINK("https://klasma.github.io/Logging_0583/artfynd/A 18729-2025 artfynd.xlsx", "A 18729-2025")</f>
        <v/>
      </c>
      <c r="X40">
        <f>HYPERLINK("https://klasma.github.io/Logging_0583/kartor/A 18729-2025 karta.png", "A 18729-2025")</f>
        <v/>
      </c>
      <c r="Y40">
        <f>HYPERLINK("https://klasma.github.io/Logging_0583/kartor_geotiff/A 18729-2025 georefererad karta.tif", "A 18729-2025")</f>
        <v/>
      </c>
      <c r="AA40">
        <f>HYPERLINK("https://klasma.github.io/Logging_0583/klagomål/A 18729-2025 FSC-klagomål.docx", "A 18729-2025")</f>
        <v/>
      </c>
      <c r="AB40">
        <f>HYPERLINK("https://klasma.github.io/Logging_0583/klagomålsmail/A 18729-2025 FSC-klagomål mail.docx", "A 18729-2025")</f>
        <v/>
      </c>
      <c r="AC40">
        <f>HYPERLINK("https://klasma.github.io/Logging_0583/tillsyn/A 18729-2025 tillsynsbegäran.docx", "A 18729-2025")</f>
        <v/>
      </c>
      <c r="AD40">
        <f>HYPERLINK("https://klasma.github.io/Logging_0583/tillsynsmail/A 18729-2025 tillsynsbegäran mail.docx", "A 18729-2025")</f>
        <v/>
      </c>
    </row>
    <row r="41" ht="15" customHeight="1">
      <c r="A41" t="inlineStr">
        <is>
          <t>A 52523-2022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46256</v>
      </c>
      <c r="F41" t="inlineStr">
        <is>
          <t>ÖSTERGÖTLANDS LÄN</t>
        </is>
      </c>
      <c r="G41" t="inlineStr">
        <is>
          <t>MOTALA</t>
        </is>
      </c>
      <c r="H41" t="inlineStr">
        <is>
          <t>Kyrkan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HYPERLINK("https://klasma.github.io/Logging_0583/artfynd/A 52523-2022 artfynd.xlsx", "A 52523-2022")</f>
        <v/>
      </c>
      <c r="X41">
        <f>HYPERLINK("https://klasma.github.io/Logging_0583/kartor/A 52523-2022 karta.png", "A 52523-2022")</f>
        <v/>
      </c>
      <c r="Y41">
        <f>HYPERLINK("https://klasma.github.io/Logging_0583/kartor_geotiff/A 52523-2022 georefererad karta.tif", "A 52523-2022")</f>
        <v/>
      </c>
      <c r="AA41">
        <f>HYPERLINK("https://klasma.github.io/Logging_0583/klagomål/A 52523-2022 FSC-klagomål.docx", "A 52523-2022")</f>
        <v/>
      </c>
      <c r="AB41">
        <f>HYPERLINK("https://klasma.github.io/Logging_0583/klagomålsmail/A 52523-2022 FSC-klagomål mail.docx", "A 52523-2022")</f>
        <v/>
      </c>
      <c r="AC41">
        <f>HYPERLINK("https://klasma.github.io/Logging_0583/tillsyn/A 52523-2022 tillsynsbegäran.docx", "A 52523-2022")</f>
        <v/>
      </c>
      <c r="AD41">
        <f>HYPERLINK("https://klasma.github.io/Logging_0583/tillsynsmail/A 52523-2022 tillsynsbegäran mail.docx", "A 52523-2022")</f>
        <v/>
      </c>
    </row>
    <row r="42" ht="15" customHeight="1">
      <c r="A42" t="inlineStr">
        <is>
          <t>A 27907-2026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46256</v>
      </c>
      <c r="F42" t="inlineStr">
        <is>
          <t>ÖSTERGÖTLANDS LÄN</t>
        </is>
      </c>
      <c r="G42" t="inlineStr">
        <is>
          <t>MOTALA</t>
        </is>
      </c>
      <c r="H42" t="inlineStr">
        <is>
          <t>Holmen skog AB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HYPERLINK("https://klasma.github.io/Logging_0583/artfynd/A 27907-2026 artfynd.xlsx", "A 27907-2026")</f>
        <v/>
      </c>
      <c r="X42">
        <f>HYPERLINK("https://klasma.github.io/Logging_0583/kartor/A 27907-2026 karta.png", "A 27907-2026")</f>
        <v/>
      </c>
      <c r="Y42">
        <f>HYPERLINK("https://klasma.github.io/Logging_0583/kartor_geotiff/A 27907-2026 georefererad karta.tif", "A 27907-2026")</f>
        <v/>
      </c>
      <c r="AA42">
        <f>HYPERLINK("https://klasma.github.io/Logging_0583/klagomål/A 27907-2026 FSC-klagomål.docx", "A 27907-2026")</f>
        <v/>
      </c>
      <c r="AB42">
        <f>HYPERLINK("https://klasma.github.io/Logging_0583/klagomålsmail/A 27907-2026 FSC-klagomål mail.docx", "A 27907-2026")</f>
        <v/>
      </c>
      <c r="AC42">
        <f>HYPERLINK("https://klasma.github.io/Logging_0583/tillsyn/A 27907-2026 tillsynsbegäran.docx", "A 27907-2026")</f>
        <v/>
      </c>
      <c r="AD42">
        <f>HYPERLINK("https://klasma.github.io/Logging_0583/tillsynsmail/A 27907-2026 tillsynsbegäran mail.docx", "A 27907-2026")</f>
        <v/>
      </c>
      <c r="AE42">
        <f>HYPERLINK("https://klasma.github.io/Logging_0583/fåglar/A 27907-2026 prioriterade fågelarter.docx", "A 27907-2026")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46256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46256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46256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24554-2025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46256</v>
      </c>
      <c r="F46" t="inlineStr">
        <is>
          <t>ÖSTERGÖTLANDS LÄN</t>
        </is>
      </c>
      <c r="G46" t="inlineStr">
        <is>
          <t>MOTALA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HYPERLINK("https://klasma.github.io/Logging_0583/artfynd/A 24554-2025 artfynd.xlsx", "A 24554-2025")</f>
        <v/>
      </c>
      <c r="X46">
        <f>HYPERLINK("https://klasma.github.io/Logging_0583/kartor/A 24554-2025 karta.png", "A 24554-2025")</f>
        <v/>
      </c>
      <c r="Y46">
        <f>HYPERLINK("https://klasma.github.io/Logging_0583/kartor_geotiff/A 24554-2025 georefererad karta.tif", "A 24554-2025")</f>
        <v/>
      </c>
      <c r="AA46">
        <f>HYPERLINK("https://klasma.github.io/Logging_0583/klagomål/A 24554-2025 FSC-klagomål.docx", "A 24554-2025")</f>
        <v/>
      </c>
      <c r="AB46">
        <f>HYPERLINK("https://klasma.github.io/Logging_0583/klagomålsmail/A 24554-2025 FSC-klagomål mail.docx", "A 24554-2025")</f>
        <v/>
      </c>
      <c r="AC46">
        <f>HYPERLINK("https://klasma.github.io/Logging_0583/tillsyn/A 24554-2025 tillsynsbegäran.docx", "A 24554-2025")</f>
        <v/>
      </c>
      <c r="AD46">
        <f>HYPERLINK("https://klasma.github.io/Logging_0583/tillsynsmail/A 24554-2025 tillsynsbegäran mail.docx", "A 24554-2025")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46256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46256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46256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46256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46256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46256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46256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46256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46256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46256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46256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46256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46256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46256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46256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46256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46256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46256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46256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46256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46256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46256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46256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46256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46256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46256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46256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46256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46256</v>
      </c>
      <c r="F78" t="inlineStr">
        <is>
          <t>ÖSTERGÖTLANDS LÄN</t>
        </is>
      </c>
      <c r="G78" t="inlineStr">
        <is>
          <t>MOTALA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46256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46256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46256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46256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46256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46256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46256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46256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46256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46256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46256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46256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46256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46256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46256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46256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46256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46256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46256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46256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46256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46256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46256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46256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46256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46256</v>
      </c>
      <c r="F104" t="inlineStr">
        <is>
          <t>ÖSTERGÖTLANDS LÄN</t>
        </is>
      </c>
      <c r="G104" t="inlineStr">
        <is>
          <t>MOTALA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46256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46256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46256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46256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46256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46256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46256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46256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46256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46256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46256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46256</v>
      </c>
      <c r="F116" t="inlineStr">
        <is>
          <t>ÖSTERGÖTLANDS LÄN</t>
        </is>
      </c>
      <c r="G116" t="inlineStr">
        <is>
          <t>MOTALA</t>
        </is>
      </c>
      <c r="H116" t="inlineStr">
        <is>
          <t>Allmännings- och besparingsskogar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46256</v>
      </c>
      <c r="F117" t="inlineStr">
        <is>
          <t>ÖSTERGÖTLANDS LÄN</t>
        </is>
      </c>
      <c r="G117" t="inlineStr">
        <is>
          <t>MOTALA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46256</v>
      </c>
      <c r="F118" t="inlineStr">
        <is>
          <t>ÖSTERGÖTLANDS LÄN</t>
        </is>
      </c>
      <c r="G118" t="inlineStr">
        <is>
          <t>MOTALA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46256</v>
      </c>
      <c r="F119" t="inlineStr">
        <is>
          <t>ÖSTERGÖTLANDS LÄN</t>
        </is>
      </c>
      <c r="G119" t="inlineStr">
        <is>
          <t>MOTALA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57992-2021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44487</v>
      </c>
      <c r="E120" s="1" t="n">
        <v>46256</v>
      </c>
      <c r="F120" t="inlineStr">
        <is>
          <t>ÖSTERGÖTLANDS LÄN</t>
        </is>
      </c>
      <c r="G120" t="inlineStr">
        <is>
          <t>MOTALA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46256</v>
      </c>
      <c r="F121" t="inlineStr">
        <is>
          <t>ÖSTERGÖTLANDS LÄN</t>
        </is>
      </c>
      <c r="G121" t="inlineStr">
        <is>
          <t>MOTALA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46256</v>
      </c>
      <c r="F122" t="inlineStr">
        <is>
          <t>ÖSTERGÖTLANDS LÄN</t>
        </is>
      </c>
      <c r="G122" t="inlineStr">
        <is>
          <t>MOTALA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46256</v>
      </c>
      <c r="F123" t="inlineStr">
        <is>
          <t>ÖSTERGÖTLANDS LÄN</t>
        </is>
      </c>
      <c r="G123" t="inlineStr">
        <is>
          <t>MOTALA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46256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46256</v>
      </c>
      <c r="F125" t="inlineStr">
        <is>
          <t>ÖSTERGÖTLANDS LÄN</t>
        </is>
      </c>
      <c r="G125" t="inlineStr">
        <is>
          <t>MOTALA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44931</v>
      </c>
      <c r="E126" s="1" t="n">
        <v>46256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46256</v>
      </c>
      <c r="F127" t="inlineStr">
        <is>
          <t>ÖSTERGÖTLANDS LÄN</t>
        </is>
      </c>
      <c r="G127" t="inlineStr">
        <is>
          <t>MOTALA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46256</v>
      </c>
      <c r="F128" t="inlineStr">
        <is>
          <t>ÖSTERGÖTLANDS LÄN</t>
        </is>
      </c>
      <c r="G128" t="inlineStr">
        <is>
          <t>MOTALA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46256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46256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46256</v>
      </c>
      <c r="F131" t="inlineStr">
        <is>
          <t>ÖSTERGÖTLANDS LÄN</t>
        </is>
      </c>
      <c r="G131" t="inlineStr">
        <is>
          <t>MOTALA</t>
        </is>
      </c>
      <c r="H131" t="inlineStr">
        <is>
          <t>Sveaskog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46256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46256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46256</v>
      </c>
      <c r="F134" t="inlineStr">
        <is>
          <t>ÖSTERGÖTLANDS LÄN</t>
        </is>
      </c>
      <c r="G134" t="inlineStr">
        <is>
          <t>MOTALA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46256</v>
      </c>
      <c r="F135" t="inlineStr">
        <is>
          <t>ÖSTERGÖTLANDS LÄN</t>
        </is>
      </c>
      <c r="G135" t="inlineStr">
        <is>
          <t>MOTALA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46256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46256</v>
      </c>
      <c r="F137" t="inlineStr">
        <is>
          <t>ÖSTERGÖTLANDS LÄN</t>
        </is>
      </c>
      <c r="G137" t="inlineStr">
        <is>
          <t>MOTALA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46256</v>
      </c>
      <c r="F138" t="inlineStr">
        <is>
          <t>ÖSTERGÖTLANDS LÄN</t>
        </is>
      </c>
      <c r="G138" t="inlineStr">
        <is>
          <t>MOTALA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46256</v>
      </c>
      <c r="F139" t="inlineStr">
        <is>
          <t>ÖSTERGÖTLANDS LÄN</t>
        </is>
      </c>
      <c r="G139" t="inlineStr">
        <is>
          <t>MOTALA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46256</v>
      </c>
      <c r="F140" t="inlineStr">
        <is>
          <t>ÖSTERGÖTLANDS LÄN</t>
        </is>
      </c>
      <c r="G140" t="inlineStr">
        <is>
          <t>MOTALA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46256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45387</v>
      </c>
      <c r="E142" s="1" t="n">
        <v>46256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46256</v>
      </c>
      <c r="F143" t="inlineStr">
        <is>
          <t>ÖSTERGÖTLANDS LÄN</t>
        </is>
      </c>
      <c r="G143" t="inlineStr">
        <is>
          <t>MOTALA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46256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46256</v>
      </c>
      <c r="F145" t="inlineStr">
        <is>
          <t>ÖSTERGÖTLANDS LÄN</t>
        </is>
      </c>
      <c r="G145" t="inlineStr">
        <is>
          <t>MOTALA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46256</v>
      </c>
      <c r="F146" t="inlineStr">
        <is>
          <t>ÖSTERGÖTLANDS LÄN</t>
        </is>
      </c>
      <c r="G146" t="inlineStr">
        <is>
          <t>MOTALA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46256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45621</v>
      </c>
      <c r="E148" s="1" t="n">
        <v>46256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46256</v>
      </c>
      <c r="F149" t="inlineStr">
        <is>
          <t>ÖSTERGÖTLANDS LÄN</t>
        </is>
      </c>
      <c r="G149" t="inlineStr">
        <is>
          <t>MOTALA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46256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46256</v>
      </c>
      <c r="F151" t="inlineStr">
        <is>
          <t>ÖSTERGÖTLANDS LÄN</t>
        </is>
      </c>
      <c r="G151" t="inlineStr">
        <is>
          <t>MOTALA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46256</v>
      </c>
      <c r="F152" t="inlineStr">
        <is>
          <t>ÖSTERGÖTLANDS LÄN</t>
        </is>
      </c>
      <c r="G152" t="inlineStr">
        <is>
          <t>MOTALA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46256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46256</v>
      </c>
      <c r="F154" t="inlineStr">
        <is>
          <t>ÖSTERGÖTLANDS LÄN</t>
        </is>
      </c>
      <c r="G154" t="inlineStr">
        <is>
          <t>MOTALA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46256</v>
      </c>
      <c r="F155" t="inlineStr">
        <is>
          <t>ÖSTERGÖTLANDS LÄN</t>
        </is>
      </c>
      <c r="G155" t="inlineStr">
        <is>
          <t>MOTALA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46256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46256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46256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46256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46256</v>
      </c>
      <c r="F160" t="inlineStr">
        <is>
          <t>ÖSTERGÖTLANDS LÄN</t>
        </is>
      </c>
      <c r="G160" t="inlineStr">
        <is>
          <t>MOTALA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46256</v>
      </c>
      <c r="F161" t="inlineStr">
        <is>
          <t>ÖSTERGÖTLANDS LÄN</t>
        </is>
      </c>
      <c r="G161" t="inlineStr">
        <is>
          <t>MOTALA</t>
        </is>
      </c>
      <c r="H161" t="inlineStr">
        <is>
          <t>Holmen skog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46256</v>
      </c>
      <c r="F162" t="inlineStr">
        <is>
          <t>ÖSTERGÖTLANDS LÄN</t>
        </is>
      </c>
      <c r="G162" t="inlineStr">
        <is>
          <t>MOTALA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46256</v>
      </c>
      <c r="F163" t="inlineStr">
        <is>
          <t>ÖSTERGÖTLANDS LÄN</t>
        </is>
      </c>
      <c r="G163" t="inlineStr">
        <is>
          <t>MOTALA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46256</v>
      </c>
      <c r="F164" t="inlineStr">
        <is>
          <t>ÖSTERGÖTLANDS LÄN</t>
        </is>
      </c>
      <c r="G164" t="inlineStr">
        <is>
          <t>MOTALA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46256</v>
      </c>
      <c r="F165" t="inlineStr">
        <is>
          <t>ÖSTERGÖTLANDS LÄN</t>
        </is>
      </c>
      <c r="G165" t="inlineStr">
        <is>
          <t>MOTALA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46256</v>
      </c>
      <c r="F166" t="inlineStr">
        <is>
          <t>ÖSTERGÖTLANDS LÄN</t>
        </is>
      </c>
      <c r="G166" t="inlineStr">
        <is>
          <t>MOTALA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45114</v>
      </c>
      <c r="E167" s="1" t="n">
        <v>46256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45923</v>
      </c>
      <c r="E168" s="1" t="n">
        <v>46256</v>
      </c>
      <c r="F168" t="inlineStr">
        <is>
          <t>ÖSTERGÖTLANDS LÄN</t>
        </is>
      </c>
      <c r="G168" t="inlineStr">
        <is>
          <t>MOTALA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46256</v>
      </c>
      <c r="F169" t="inlineStr">
        <is>
          <t>ÖSTERGÖTLANDS LÄN</t>
        </is>
      </c>
      <c r="G169" t="inlineStr">
        <is>
          <t>MOTALA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46256</v>
      </c>
      <c r="F170" t="inlineStr">
        <is>
          <t>ÖSTERGÖTLANDS LÄN</t>
        </is>
      </c>
      <c r="G170" t="inlineStr">
        <is>
          <t>MOTALA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46256</v>
      </c>
      <c r="F171" t="inlineStr">
        <is>
          <t>ÖSTERGÖTLANDS LÄN</t>
        </is>
      </c>
      <c r="G171" t="inlineStr">
        <is>
          <t>MOTALA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46256</v>
      </c>
      <c r="F172" t="inlineStr">
        <is>
          <t>ÖSTERGÖTLANDS LÄN</t>
        </is>
      </c>
      <c r="G172" t="inlineStr">
        <is>
          <t>MOTALA</t>
        </is>
      </c>
      <c r="H172" t="inlineStr">
        <is>
          <t>Övriga statliga verk och myndigheter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46256</v>
      </c>
      <c r="F173" t="inlineStr">
        <is>
          <t>ÖSTERGÖTLANDS LÄN</t>
        </is>
      </c>
      <c r="G173" t="inlineStr">
        <is>
          <t>MOTALA</t>
        </is>
      </c>
      <c r="H173" t="inlineStr">
        <is>
          <t>Övriga statliga verk och myndigheter</t>
        </is>
      </c>
      <c r="I173" t="n">
        <v>12.2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46256</v>
      </c>
      <c r="F174" t="inlineStr">
        <is>
          <t>ÖSTERGÖTLANDS LÄN</t>
        </is>
      </c>
      <c r="G174" t="inlineStr">
        <is>
          <t>MOTALA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46256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46256</v>
      </c>
      <c r="F176" t="inlineStr">
        <is>
          <t>ÖSTERGÖTLANDS LÄN</t>
        </is>
      </c>
      <c r="G176" t="inlineStr">
        <is>
          <t>MOTALA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46256</v>
      </c>
      <c r="F177" t="inlineStr">
        <is>
          <t>ÖSTERGÖTLANDS LÄN</t>
        </is>
      </c>
      <c r="G177" t="inlineStr">
        <is>
          <t>MOTALA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46256</v>
      </c>
      <c r="F178" t="inlineStr">
        <is>
          <t>ÖSTERGÖTLANDS LÄN</t>
        </is>
      </c>
      <c r="G178" t="inlineStr">
        <is>
          <t>MOTALA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46256</v>
      </c>
      <c r="F179" t="inlineStr">
        <is>
          <t>ÖSTERGÖTLANDS LÄN</t>
        </is>
      </c>
      <c r="G179" t="inlineStr">
        <is>
          <t>MOTALA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46256</v>
      </c>
      <c r="F180" t="inlineStr">
        <is>
          <t>ÖSTERGÖTLANDS LÄN</t>
        </is>
      </c>
      <c r="G180" t="inlineStr">
        <is>
          <t>MOTALA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46256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46256</v>
      </c>
      <c r="F182" t="inlineStr">
        <is>
          <t>ÖSTERGÖTLANDS LÄN</t>
        </is>
      </c>
      <c r="G182" t="inlineStr">
        <is>
          <t>MOTALA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46256</v>
      </c>
      <c r="F183" t="inlineStr">
        <is>
          <t>ÖSTERGÖTLANDS LÄN</t>
        </is>
      </c>
      <c r="G183" t="inlineStr">
        <is>
          <t>MOTALA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46256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46256</v>
      </c>
      <c r="F185" t="inlineStr">
        <is>
          <t>ÖSTERGÖTLANDS LÄN</t>
        </is>
      </c>
      <c r="G185" t="inlineStr">
        <is>
          <t>MOTALA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46256</v>
      </c>
      <c r="F186" t="inlineStr">
        <is>
          <t>ÖSTERGÖTLANDS LÄN</t>
        </is>
      </c>
      <c r="G186" t="inlineStr">
        <is>
          <t>MOTALA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46256</v>
      </c>
      <c r="F187" t="inlineStr">
        <is>
          <t>ÖSTERGÖTLANDS LÄN</t>
        </is>
      </c>
      <c r="G187" t="inlineStr">
        <is>
          <t>MOTALA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46256</v>
      </c>
      <c r="F188" t="inlineStr">
        <is>
          <t>ÖSTERGÖTLANDS LÄN</t>
        </is>
      </c>
      <c r="G188" t="inlineStr">
        <is>
          <t>MOTALA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45425</v>
      </c>
      <c r="E189" s="1" t="n">
        <v>46256</v>
      </c>
      <c r="F189" t="inlineStr">
        <is>
          <t>ÖSTERGÖTLANDS LÄN</t>
        </is>
      </c>
      <c r="G189" t="inlineStr">
        <is>
          <t>MOTALA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44725</v>
      </c>
      <c r="E190" s="1" t="n">
        <v>46256</v>
      </c>
      <c r="F190" t="inlineStr">
        <is>
          <t>ÖSTERGÖTLANDS LÄN</t>
        </is>
      </c>
      <c r="G190" t="inlineStr">
        <is>
          <t>MOTALA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46256</v>
      </c>
      <c r="F191" t="inlineStr">
        <is>
          <t>ÖSTERGÖTLANDS LÄN</t>
        </is>
      </c>
      <c r="G191" t="inlineStr">
        <is>
          <t>MOTALA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45427</v>
      </c>
      <c r="E192" s="1" t="n">
        <v>46256</v>
      </c>
      <c r="F192" t="inlineStr">
        <is>
          <t>ÖSTERGÖTLANDS LÄN</t>
        </is>
      </c>
      <c r="G192" t="inlineStr">
        <is>
          <t>MOTALA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45302</v>
      </c>
      <c r="E193" s="1" t="n">
        <v>46256</v>
      </c>
      <c r="F193" t="inlineStr">
        <is>
          <t>ÖSTERGÖTLANDS LÄN</t>
        </is>
      </c>
      <c r="G193" t="inlineStr">
        <is>
          <t>MOTALA</t>
        </is>
      </c>
      <c r="H193" t="inlineStr">
        <is>
          <t>Övriga statliga verk och myndigheter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45939</v>
      </c>
      <c r="E194" s="1" t="n">
        <v>46256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46256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46256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46256</v>
      </c>
      <c r="F197" t="inlineStr">
        <is>
          <t>ÖSTERGÖTLANDS LÄN</t>
        </is>
      </c>
      <c r="G197" t="inlineStr">
        <is>
          <t>MOTALA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46256</v>
      </c>
      <c r="F198" t="inlineStr">
        <is>
          <t>ÖSTERGÖTLANDS LÄN</t>
        </is>
      </c>
      <c r="G198" t="inlineStr">
        <is>
          <t>MOTALA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46256</v>
      </c>
      <c r="F199" t="inlineStr">
        <is>
          <t>ÖSTERGÖTLANDS LÄN</t>
        </is>
      </c>
      <c r="G199" t="inlineStr">
        <is>
          <t>MOTALA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46256</v>
      </c>
      <c r="F200" t="inlineStr">
        <is>
          <t>ÖSTERGÖTLANDS LÄN</t>
        </is>
      </c>
      <c r="G200" t="inlineStr">
        <is>
          <t>MOTALA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46256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46256</v>
      </c>
      <c r="F202" t="inlineStr">
        <is>
          <t>ÖSTERGÖTLANDS LÄN</t>
        </is>
      </c>
      <c r="G202" t="inlineStr">
        <is>
          <t>MOTALA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43695-2021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44433</v>
      </c>
      <c r="E203" s="1" t="n">
        <v>46256</v>
      </c>
      <c r="F203" t="inlineStr">
        <is>
          <t>ÖSTERGÖTLANDS LÄN</t>
        </is>
      </c>
      <c r="G203" t="inlineStr">
        <is>
          <t>MOTALA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27896-2025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45817</v>
      </c>
      <c r="E204" s="1" t="n">
        <v>46256</v>
      </c>
      <c r="F204" t="inlineStr">
        <is>
          <t>ÖSTERGÖTLANDS LÄN</t>
        </is>
      </c>
      <c r="G204" t="inlineStr">
        <is>
          <t>MOTALA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65566-2021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46256</v>
      </c>
      <c r="F205" t="inlineStr">
        <is>
          <t>ÖSTERGÖTLANDS LÄN</t>
        </is>
      </c>
      <c r="G205" t="inlineStr">
        <is>
          <t>MOTALA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25977-2022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46256</v>
      </c>
      <c r="F206" t="inlineStr">
        <is>
          <t>ÖSTERGÖTLANDS LÄN</t>
        </is>
      </c>
      <c r="G206" t="inlineStr">
        <is>
          <t>MOTALA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46256</v>
      </c>
      <c r="F207" t="inlineStr">
        <is>
          <t>ÖSTERGÖTLANDS LÄN</t>
        </is>
      </c>
      <c r="G207" t="inlineStr">
        <is>
          <t>MOTALA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44952</v>
      </c>
      <c r="E208" s="1" t="n">
        <v>46256</v>
      </c>
      <c r="F208" t="inlineStr">
        <is>
          <t>ÖSTERGÖTLANDS LÄN</t>
        </is>
      </c>
      <c r="G208" t="inlineStr">
        <is>
          <t>MOTALA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46256</v>
      </c>
      <c r="F209" t="inlineStr">
        <is>
          <t>ÖSTERGÖTLANDS LÄN</t>
        </is>
      </c>
      <c r="G209" t="inlineStr">
        <is>
          <t>MOTALA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46256</v>
      </c>
      <c r="F210" t="inlineStr">
        <is>
          <t>ÖSTERGÖTLANDS LÄN</t>
        </is>
      </c>
      <c r="G210" t="inlineStr">
        <is>
          <t>MOTALA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46256</v>
      </c>
      <c r="F211" t="inlineStr">
        <is>
          <t>ÖSTERGÖTLANDS LÄN</t>
        </is>
      </c>
      <c r="G211" t="inlineStr">
        <is>
          <t>MOTALA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46256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46256</v>
      </c>
      <c r="F213" t="inlineStr">
        <is>
          <t>ÖSTERGÖTLANDS LÄN</t>
        </is>
      </c>
      <c r="G213" t="inlineStr">
        <is>
          <t>MOTALA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46256</v>
      </c>
      <c r="F214" t="inlineStr">
        <is>
          <t>ÖSTERGÖTLANDS LÄN</t>
        </is>
      </c>
      <c r="G214" t="inlineStr">
        <is>
          <t>MOTALA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46256</v>
      </c>
      <c r="F215" t="inlineStr">
        <is>
          <t>ÖSTERGÖTLANDS LÄN</t>
        </is>
      </c>
      <c r="G215" t="inlineStr">
        <is>
          <t>MOTALA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46256</v>
      </c>
      <c r="F216" t="inlineStr">
        <is>
          <t>ÖSTERGÖTLANDS LÄN</t>
        </is>
      </c>
      <c r="G216" t="inlineStr">
        <is>
          <t>MOTALA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45205</v>
      </c>
      <c r="E217" s="1" t="n">
        <v>46256</v>
      </c>
      <c r="F217" t="inlineStr">
        <is>
          <t>ÖSTERGÖTLANDS LÄN</t>
        </is>
      </c>
      <c r="G217" t="inlineStr">
        <is>
          <t>MOTALA</t>
        </is>
      </c>
      <c r="H217" t="inlineStr">
        <is>
          <t>Övriga statliga verk och myndigheter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46256</v>
      </c>
      <c r="F218" t="inlineStr">
        <is>
          <t>ÖSTERGÖTLANDS LÄN</t>
        </is>
      </c>
      <c r="G218" t="inlineStr">
        <is>
          <t>MOTALA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44676</v>
      </c>
      <c r="E219" s="1" t="n">
        <v>46256</v>
      </c>
      <c r="F219" t="inlineStr">
        <is>
          <t>ÖSTERGÖTLANDS LÄN</t>
        </is>
      </c>
      <c r="G219" t="inlineStr">
        <is>
          <t>MOTALA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46256</v>
      </c>
      <c r="F220" t="inlineStr">
        <is>
          <t>ÖSTERGÖTLANDS LÄN</t>
        </is>
      </c>
      <c r="G220" t="inlineStr">
        <is>
          <t>MOTALA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46256</v>
      </c>
      <c r="F221" t="inlineStr">
        <is>
          <t>ÖSTERGÖTLANDS LÄN</t>
        </is>
      </c>
      <c r="G221" t="inlineStr">
        <is>
          <t>MOTALA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44613</v>
      </c>
      <c r="E222" s="1" t="n">
        <v>46256</v>
      </c>
      <c r="F222" t="inlineStr">
        <is>
          <t>ÖSTERGÖTLANDS LÄN</t>
        </is>
      </c>
      <c r="G222" t="inlineStr">
        <is>
          <t>MOTALA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44750</v>
      </c>
      <c r="E223" s="1" t="n">
        <v>46256</v>
      </c>
      <c r="F223" t="inlineStr">
        <is>
          <t>ÖSTERGÖTLANDS LÄN</t>
        </is>
      </c>
      <c r="G223" t="inlineStr">
        <is>
          <t>MOTALA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46256</v>
      </c>
      <c r="F224" t="inlineStr">
        <is>
          <t>ÖSTERGÖTLANDS LÄN</t>
        </is>
      </c>
      <c r="G224" t="inlineStr">
        <is>
          <t>MOTALA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46256</v>
      </c>
      <c r="F225" t="inlineStr">
        <is>
          <t>ÖSTERGÖTLANDS LÄN</t>
        </is>
      </c>
      <c r="G225" t="inlineStr">
        <is>
          <t>MOTALA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46256</v>
      </c>
      <c r="F226" t="inlineStr">
        <is>
          <t>ÖSTERGÖTLANDS LÄN</t>
        </is>
      </c>
      <c r="G226" t="inlineStr">
        <is>
          <t>MOTALA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46256</v>
      </c>
      <c r="F227" t="inlineStr">
        <is>
          <t>ÖSTERGÖTLANDS LÄN</t>
        </is>
      </c>
      <c r="G227" t="inlineStr">
        <is>
          <t>MOTALA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46256</v>
      </c>
      <c r="F228" t="inlineStr">
        <is>
          <t>ÖSTERGÖTLANDS LÄN</t>
        </is>
      </c>
      <c r="G228" t="inlineStr">
        <is>
          <t>MOTALA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46256</v>
      </c>
      <c r="F229" t="inlineStr">
        <is>
          <t>ÖSTERGÖTLANDS LÄN</t>
        </is>
      </c>
      <c r="G229" t="inlineStr">
        <is>
          <t>MOTALA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46256</v>
      </c>
      <c r="F230" t="inlineStr">
        <is>
          <t>ÖSTERGÖTLANDS LÄN</t>
        </is>
      </c>
      <c r="G230" t="inlineStr">
        <is>
          <t>MOTALA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46256</v>
      </c>
      <c r="F231" t="inlineStr">
        <is>
          <t>ÖSTERGÖTLANDS LÄN</t>
        </is>
      </c>
      <c r="G231" t="inlineStr">
        <is>
          <t>MOTALA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45985</v>
      </c>
      <c r="E232" s="1" t="n">
        <v>46256</v>
      </c>
      <c r="F232" t="inlineStr">
        <is>
          <t>ÖSTERGÖTLANDS LÄN</t>
        </is>
      </c>
      <c r="G232" t="inlineStr">
        <is>
          <t>MOTALA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46256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46256</v>
      </c>
      <c r="F234" t="inlineStr">
        <is>
          <t>ÖSTERGÖTLANDS LÄN</t>
        </is>
      </c>
      <c r="G234" t="inlineStr">
        <is>
          <t>MOTALA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45602</v>
      </c>
      <c r="E235" s="1" t="n">
        <v>46256</v>
      </c>
      <c r="F235" t="inlineStr">
        <is>
          <t>ÖSTERGÖTLANDS LÄN</t>
        </is>
      </c>
      <c r="G235" t="inlineStr">
        <is>
          <t>MOTALA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46256</v>
      </c>
      <c r="F236" t="inlineStr">
        <is>
          <t>ÖSTERGÖTLANDS LÄN</t>
        </is>
      </c>
      <c r="G236" t="inlineStr">
        <is>
          <t>MOTALA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45429</v>
      </c>
      <c r="E237" s="1" t="n">
        <v>46256</v>
      </c>
      <c r="F237" t="inlineStr">
        <is>
          <t>ÖSTERGÖTLANDS LÄN</t>
        </is>
      </c>
      <c r="G237" t="inlineStr">
        <is>
          <t>MOTALA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50785-2021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44459</v>
      </c>
      <c r="E238" s="1" t="n">
        <v>46256</v>
      </c>
      <c r="F238" t="inlineStr">
        <is>
          <t>ÖSTERGÖTLANDS LÄN</t>
        </is>
      </c>
      <c r="G238" t="inlineStr">
        <is>
          <t>MOTALA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46256</v>
      </c>
      <c r="F239" t="inlineStr">
        <is>
          <t>ÖSTERGÖTLANDS LÄN</t>
        </is>
      </c>
      <c r="G239" t="inlineStr">
        <is>
          <t>MOTALA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46256</v>
      </c>
      <c r="F240" t="inlineStr">
        <is>
          <t>ÖSTERGÖTLANDS LÄN</t>
        </is>
      </c>
      <c r="G240" t="inlineStr">
        <is>
          <t>MOTALA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46256</v>
      </c>
      <c r="F241" t="inlineStr">
        <is>
          <t>ÖSTERGÖTLANDS LÄN</t>
        </is>
      </c>
      <c r="G241" t="inlineStr">
        <is>
          <t>MOTALA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52302-2023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45224</v>
      </c>
      <c r="E242" s="1" t="n">
        <v>46256</v>
      </c>
      <c r="F242" t="inlineStr">
        <is>
          <t>ÖSTERGÖTLANDS LÄN</t>
        </is>
      </c>
      <c r="G242" t="inlineStr">
        <is>
          <t>MOTALA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46256</v>
      </c>
      <c r="F243" t="inlineStr">
        <is>
          <t>ÖSTERGÖTLANDS LÄN</t>
        </is>
      </c>
      <c r="G243" t="inlineStr">
        <is>
          <t>MOTALA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45428</v>
      </c>
      <c r="E244" s="1" t="n">
        <v>46256</v>
      </c>
      <c r="F244" t="inlineStr">
        <is>
          <t>ÖSTERGÖTLANDS LÄN</t>
        </is>
      </c>
      <c r="G244" t="inlineStr">
        <is>
          <t>MOTALA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46256</v>
      </c>
      <c r="F245" t="inlineStr">
        <is>
          <t>ÖSTERGÖTLANDS LÄN</t>
        </is>
      </c>
      <c r="G245" t="inlineStr">
        <is>
          <t>MOTALA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45805</v>
      </c>
      <c r="E246" s="1" t="n">
        <v>46256</v>
      </c>
      <c r="F246" t="inlineStr">
        <is>
          <t>ÖSTERGÖTLANDS LÄN</t>
        </is>
      </c>
      <c r="G246" t="inlineStr">
        <is>
          <t>MOTALA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46256</v>
      </c>
      <c r="F247" t="inlineStr">
        <is>
          <t>ÖSTERGÖTLANDS LÄN</t>
        </is>
      </c>
      <c r="G247" t="inlineStr">
        <is>
          <t>MOTALA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46256</v>
      </c>
      <c r="F248" t="inlineStr">
        <is>
          <t>ÖSTERGÖTLANDS LÄN</t>
        </is>
      </c>
      <c r="G248" t="inlineStr">
        <is>
          <t>MOTALA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44853</v>
      </c>
      <c r="E249" s="1" t="n">
        <v>46256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46256</v>
      </c>
      <c r="F250" t="inlineStr">
        <is>
          <t>ÖSTERGÖTLANDS LÄN</t>
        </is>
      </c>
      <c r="G250" t="inlineStr">
        <is>
          <t>MOTALA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46256</v>
      </c>
      <c r="F251" t="inlineStr">
        <is>
          <t>ÖSTERGÖTLANDS LÄN</t>
        </is>
      </c>
      <c r="G251" t="inlineStr">
        <is>
          <t>MOTALA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64175-2023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45279</v>
      </c>
      <c r="E252" s="1" t="n">
        <v>46256</v>
      </c>
      <c r="F252" t="inlineStr">
        <is>
          <t>ÖSTERGÖTLANDS LÄN</t>
        </is>
      </c>
      <c r="G252" t="inlineStr">
        <is>
          <t>MOTALA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44575</v>
      </c>
      <c r="E253" s="1" t="n">
        <v>46256</v>
      </c>
      <c r="F253" t="inlineStr">
        <is>
          <t>ÖSTERGÖTLANDS LÄN</t>
        </is>
      </c>
      <c r="G253" t="inlineStr">
        <is>
          <t>MOTALA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46256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46256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46256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46256</v>
      </c>
      <c r="F257" t="inlineStr">
        <is>
          <t>ÖSTERGÖTLANDS LÄN</t>
        </is>
      </c>
      <c r="G257" t="inlineStr">
        <is>
          <t>MOTALA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46256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45401</v>
      </c>
      <c r="E259" s="1" t="n">
        <v>46256</v>
      </c>
      <c r="F259" t="inlineStr">
        <is>
          <t>ÖSTERGÖTLANDS LÄN</t>
        </is>
      </c>
      <c r="G259" t="inlineStr">
        <is>
          <t>MOTALA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46256</v>
      </c>
      <c r="F260" t="inlineStr">
        <is>
          <t>ÖSTERGÖTLANDS LÄN</t>
        </is>
      </c>
      <c r="G260" t="inlineStr">
        <is>
          <t>MOTALA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45998</v>
      </c>
      <c r="E261" s="1" t="n">
        <v>46256</v>
      </c>
      <c r="F261" t="inlineStr">
        <is>
          <t>ÖSTERGÖTLANDS LÄN</t>
        </is>
      </c>
      <c r="G261" t="inlineStr">
        <is>
          <t>MOTALA</t>
        </is>
      </c>
      <c r="I261" t="n">
        <v>15.9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44819</v>
      </c>
      <c r="E262" s="1" t="n">
        <v>46256</v>
      </c>
      <c r="F262" t="inlineStr">
        <is>
          <t>ÖSTERGÖTLANDS LÄN</t>
        </is>
      </c>
      <c r="G262" t="inlineStr">
        <is>
          <t>MOTALA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46256</v>
      </c>
      <c r="F263" t="inlineStr">
        <is>
          <t>ÖSTERGÖTLANDS LÄN</t>
        </is>
      </c>
      <c r="G263" t="inlineStr">
        <is>
          <t>MOTALA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44776</v>
      </c>
      <c r="E264" s="1" t="n">
        <v>46256</v>
      </c>
      <c r="F264" t="inlineStr">
        <is>
          <t>ÖSTERGÖTLANDS LÄN</t>
        </is>
      </c>
      <c r="G264" t="inlineStr">
        <is>
          <t>MOTALA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45747</v>
      </c>
      <c r="E265" s="1" t="n">
        <v>46256</v>
      </c>
      <c r="F265" t="inlineStr">
        <is>
          <t>ÖSTERGÖTLANDS LÄN</t>
        </is>
      </c>
      <c r="G265" t="inlineStr">
        <is>
          <t>MOTALA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46256</v>
      </c>
      <c r="F266" t="inlineStr">
        <is>
          <t>ÖSTERGÖTLANDS LÄN</t>
        </is>
      </c>
      <c r="G266" t="inlineStr">
        <is>
          <t>MOTALA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46256</v>
      </c>
      <c r="F267" t="inlineStr">
        <is>
          <t>ÖSTERGÖTLANDS LÄN</t>
        </is>
      </c>
      <c r="G267" t="inlineStr">
        <is>
          <t>MOTALA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46256</v>
      </c>
      <c r="F268" t="inlineStr">
        <is>
          <t>ÖSTERGÖTLANDS LÄN</t>
        </is>
      </c>
      <c r="G268" t="inlineStr">
        <is>
          <t>MOTALA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46256</v>
      </c>
      <c r="F269" t="inlineStr">
        <is>
          <t>ÖSTERGÖTLANDS LÄN</t>
        </is>
      </c>
      <c r="G269" t="inlineStr">
        <is>
          <t>MOTALA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46256</v>
      </c>
      <c r="F270" t="inlineStr">
        <is>
          <t>ÖSTERGÖTLANDS LÄN</t>
        </is>
      </c>
      <c r="G270" t="inlineStr">
        <is>
          <t>MOTALA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62556-2021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44503</v>
      </c>
      <c r="E271" s="1" t="n">
        <v>46256</v>
      </c>
      <c r="F271" t="inlineStr">
        <is>
          <t>ÖSTERGÖTLANDS LÄN</t>
        </is>
      </c>
      <c r="G271" t="inlineStr">
        <is>
          <t>MOTALA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46256</v>
      </c>
      <c r="F272" t="inlineStr">
        <is>
          <t>ÖSTERGÖTLANDS LÄN</t>
        </is>
      </c>
      <c r="G272" t="inlineStr">
        <is>
          <t>MOTALA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46256</v>
      </c>
      <c r="F273" t="inlineStr">
        <is>
          <t>ÖSTERGÖTLANDS LÄN</t>
        </is>
      </c>
      <c r="G273" t="inlineStr">
        <is>
          <t>MOTALA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46256</v>
      </c>
      <c r="F274" t="inlineStr">
        <is>
          <t>ÖSTERGÖTLANDS LÄN</t>
        </is>
      </c>
      <c r="G274" t="inlineStr">
        <is>
          <t>MOTALA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46256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45470</v>
      </c>
      <c r="E276" s="1" t="n">
        <v>46256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46256</v>
      </c>
      <c r="F277" t="inlineStr">
        <is>
          <t>ÖSTERGÖTLANDS LÄN</t>
        </is>
      </c>
      <c r="G277" t="inlineStr">
        <is>
          <t>MOTALA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61002-2022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46256</v>
      </c>
      <c r="F278" t="inlineStr">
        <is>
          <t>ÖSTERGÖTLANDS LÄN</t>
        </is>
      </c>
      <c r="G278" t="inlineStr">
        <is>
          <t>MOTALA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45237</v>
      </c>
      <c r="E279" s="1" t="n">
        <v>46256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44830</v>
      </c>
      <c r="E280" s="1" t="n">
        <v>46256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46256</v>
      </c>
      <c r="F281" t="inlineStr">
        <is>
          <t>ÖSTERGÖTLANDS LÄN</t>
        </is>
      </c>
      <c r="G281" t="inlineStr">
        <is>
          <t>MOTALA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13422-2022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44645</v>
      </c>
      <c r="E282" s="1" t="n">
        <v>46256</v>
      </c>
      <c r="F282" t="inlineStr">
        <is>
          <t>ÖSTERGÖTLANDS LÄN</t>
        </is>
      </c>
      <c r="G282" t="inlineStr">
        <is>
          <t>MOTALA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45061</v>
      </c>
      <c r="E283" s="1" t="n">
        <v>46256</v>
      </c>
      <c r="F283" t="inlineStr">
        <is>
          <t>ÖSTERGÖTLANDS LÄN</t>
        </is>
      </c>
      <c r="G283" t="inlineStr">
        <is>
          <t>MOTALA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46256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46256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44830</v>
      </c>
      <c r="E286" s="1" t="n">
        <v>46256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45343</v>
      </c>
      <c r="E287" s="1" t="n">
        <v>46256</v>
      </c>
      <c r="F287" t="inlineStr">
        <is>
          <t>ÖSTERGÖTLANDS LÄN</t>
        </is>
      </c>
      <c r="G287" t="inlineStr">
        <is>
          <t>MOTALA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45099-2023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46256</v>
      </c>
      <c r="F288" t="inlineStr">
        <is>
          <t>ÖSTERGÖTLANDS LÄN</t>
        </is>
      </c>
      <c r="G288" t="inlineStr">
        <is>
          <t>MOTALA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46256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45526</v>
      </c>
      <c r="E290" s="1" t="n">
        <v>46256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46256</v>
      </c>
      <c r="F291" t="inlineStr">
        <is>
          <t>ÖSTERGÖTLANDS LÄN</t>
        </is>
      </c>
      <c r="G291" t="inlineStr">
        <is>
          <t>MOTALA</t>
        </is>
      </c>
      <c r="H291" t="inlineStr">
        <is>
          <t>Holmen skog AB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46256</v>
      </c>
      <c r="F292" t="inlineStr">
        <is>
          <t>ÖSTERGÖTLANDS LÄN</t>
        </is>
      </c>
      <c r="G292" t="inlineStr">
        <is>
          <t>MOTALA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46256</v>
      </c>
      <c r="F293" t="inlineStr">
        <is>
          <t>ÖSTERGÖTLANDS LÄN</t>
        </is>
      </c>
      <c r="G293" t="inlineStr">
        <is>
          <t>MOTALA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46256</v>
      </c>
      <c r="F294" t="inlineStr">
        <is>
          <t>ÖSTERGÖTLANDS LÄN</t>
        </is>
      </c>
      <c r="G294" t="inlineStr">
        <is>
          <t>MOTALA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45473</v>
      </c>
      <c r="E295" s="1" t="n">
        <v>46256</v>
      </c>
      <c r="F295" t="inlineStr">
        <is>
          <t>ÖSTERGÖTLANDS LÄN</t>
        </is>
      </c>
      <c r="G295" t="inlineStr">
        <is>
          <t>MOTALA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46256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46256</v>
      </c>
      <c r="F297" t="inlineStr">
        <is>
          <t>ÖSTERGÖTLANDS LÄN</t>
        </is>
      </c>
      <c r="G297" t="inlineStr">
        <is>
          <t>MOTALA</t>
        </is>
      </c>
      <c r="H297" t="inlineStr">
        <is>
          <t>Övriga statliga verk och myndigheter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46256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46256</v>
      </c>
      <c r="F299" t="inlineStr">
        <is>
          <t>ÖSTERGÖTLANDS LÄN</t>
        </is>
      </c>
      <c r="G299" t="inlineStr">
        <is>
          <t>MOTALA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46256</v>
      </c>
      <c r="F300" t="inlineStr">
        <is>
          <t>ÖSTERGÖTLANDS LÄN</t>
        </is>
      </c>
      <c r="G300" t="inlineStr">
        <is>
          <t>MOTALA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46256</v>
      </c>
      <c r="F301" t="inlineStr">
        <is>
          <t>ÖSTERGÖTLANDS LÄN</t>
        </is>
      </c>
      <c r="G301" t="inlineStr">
        <is>
          <t>MOTALA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46256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46256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46256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46256</v>
      </c>
      <c r="F305" t="inlineStr">
        <is>
          <t>ÖSTERGÖTLANDS LÄN</t>
        </is>
      </c>
      <c r="G305" t="inlineStr">
        <is>
          <t>MOTALA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44455</v>
      </c>
      <c r="E306" s="1" t="n">
        <v>46256</v>
      </c>
      <c r="F306" t="inlineStr">
        <is>
          <t>ÖSTERGÖTLANDS LÄN</t>
        </is>
      </c>
      <c r="G306" t="inlineStr">
        <is>
          <t>MOTALA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46256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46256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46061</v>
      </c>
      <c r="E309" s="1" t="n">
        <v>46256</v>
      </c>
      <c r="F309" t="inlineStr">
        <is>
          <t>ÖSTERGÖTLANDS LÄN</t>
        </is>
      </c>
      <c r="G309" t="inlineStr">
        <is>
          <t>MOTALA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46256</v>
      </c>
      <c r="F310" t="inlineStr">
        <is>
          <t>ÖSTERGÖTLANDS LÄN</t>
        </is>
      </c>
      <c r="G310" t="inlineStr">
        <is>
          <t>MOTALA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44608</v>
      </c>
      <c r="E311" s="1" t="n">
        <v>46256</v>
      </c>
      <c r="F311" t="inlineStr">
        <is>
          <t>ÖSTERGÖTLANDS LÄN</t>
        </is>
      </c>
      <c r="G311" t="inlineStr">
        <is>
          <t>MOTALA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46256</v>
      </c>
      <c r="F312" t="inlineStr">
        <is>
          <t>ÖSTERGÖTLANDS LÄN</t>
        </is>
      </c>
      <c r="G312" t="inlineStr">
        <is>
          <t>MOTALA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46256</v>
      </c>
      <c r="F313" t="inlineStr">
        <is>
          <t>ÖSTERGÖTLANDS LÄN</t>
        </is>
      </c>
      <c r="G313" t="inlineStr">
        <is>
          <t>MOTALA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46256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46256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46218</v>
      </c>
      <c r="E316" s="1" t="n">
        <v>46256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46256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44448</v>
      </c>
      <c r="E318" s="1" t="n">
        <v>46256</v>
      </c>
      <c r="F318" t="inlineStr">
        <is>
          <t>ÖSTERGÖTLANDS LÄN</t>
        </is>
      </c>
      <c r="G318" t="inlineStr">
        <is>
          <t>MOTALA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46256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46256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46256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46256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46256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46256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46256</v>
      </c>
      <c r="F325" t="inlineStr">
        <is>
          <t>ÖSTERGÖTLANDS LÄN</t>
        </is>
      </c>
      <c r="G325" t="inlineStr">
        <is>
          <t>MOTALA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46256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46256</v>
      </c>
      <c r="F327" t="inlineStr">
        <is>
          <t>ÖSTERGÖTLANDS LÄN</t>
        </is>
      </c>
      <c r="G327" t="inlineStr">
        <is>
          <t>MOTALA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46256</v>
      </c>
      <c r="F328" t="inlineStr">
        <is>
          <t>ÖSTERGÖTLANDS LÄN</t>
        </is>
      </c>
      <c r="G328" t="inlineStr">
        <is>
          <t>MOTALA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46256</v>
      </c>
      <c r="F329" t="inlineStr">
        <is>
          <t>ÖSTERGÖTLANDS LÄN</t>
        </is>
      </c>
      <c r="G329" t="inlineStr">
        <is>
          <t>MOTALA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46256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46077</v>
      </c>
      <c r="E331" s="1" t="n">
        <v>46256</v>
      </c>
      <c r="F331" t="inlineStr">
        <is>
          <t>ÖSTERGÖTLANDS LÄN</t>
        </is>
      </c>
      <c r="G331" t="inlineStr">
        <is>
          <t>MOTALA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46256</v>
      </c>
      <c r="F332" t="inlineStr">
        <is>
          <t>ÖSTERGÖTLANDS LÄN</t>
        </is>
      </c>
      <c r="G332" t="inlineStr">
        <is>
          <t>MOTALA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46256</v>
      </c>
      <c r="F333" t="inlineStr">
        <is>
          <t>ÖSTERGÖTLANDS LÄN</t>
        </is>
      </c>
      <c r="G333" t="inlineStr">
        <is>
          <t>MOTALA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45377</v>
      </c>
      <c r="E334" s="1" t="n">
        <v>46256</v>
      </c>
      <c r="F334" t="inlineStr">
        <is>
          <t>ÖSTERGÖTLANDS LÄN</t>
        </is>
      </c>
      <c r="G334" t="inlineStr">
        <is>
          <t>MOTALA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46256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45377</v>
      </c>
      <c r="E336" s="1" t="n">
        <v>46256</v>
      </c>
      <c r="F336" t="inlineStr">
        <is>
          <t>ÖSTERGÖTLANDS LÄN</t>
        </is>
      </c>
      <c r="G336" t="inlineStr">
        <is>
          <t>MOTALA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46256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44742</v>
      </c>
      <c r="E338" s="1" t="n">
        <v>46256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46256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46256</v>
      </c>
      <c r="F340" t="inlineStr">
        <is>
          <t>ÖSTERGÖTLANDS LÄN</t>
        </is>
      </c>
      <c r="G340" t="inlineStr">
        <is>
          <t>MOTALA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46256</v>
      </c>
      <c r="F341" t="inlineStr">
        <is>
          <t>ÖSTERGÖTLANDS LÄN</t>
        </is>
      </c>
      <c r="G341" t="inlineStr">
        <is>
          <t>MOTALA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46256</v>
      </c>
      <c r="F342" t="inlineStr">
        <is>
          <t>ÖSTERGÖTLANDS LÄN</t>
        </is>
      </c>
      <c r="G342" t="inlineStr">
        <is>
          <t>MOTALA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46092</v>
      </c>
      <c r="E343" s="1" t="n">
        <v>46256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46256</v>
      </c>
      <c r="F344" t="inlineStr">
        <is>
          <t>ÖSTERGÖTLANDS LÄN</t>
        </is>
      </c>
      <c r="G344" t="inlineStr">
        <is>
          <t>MOTALA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46256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46256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46256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46256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25.1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46256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46256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46256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46256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24.8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46256</v>
      </c>
      <c r="F353" t="inlineStr">
        <is>
          <t>ÖSTERGÖTLANDS LÄN</t>
        </is>
      </c>
      <c r="G353" t="inlineStr">
        <is>
          <t>MOTALA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45793</v>
      </c>
      <c r="E354" s="1" t="n">
        <v>46256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46256</v>
      </c>
      <c r="F355" t="inlineStr">
        <is>
          <t>ÖSTERGÖTLANDS LÄN</t>
        </is>
      </c>
      <c r="G355" t="inlineStr">
        <is>
          <t>MOTALA</t>
        </is>
      </c>
      <c r="H355" t="inlineStr">
        <is>
          <t>Kyrkan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46256</v>
      </c>
      <c r="F356" t="inlineStr">
        <is>
          <t>ÖSTERGÖTLANDS LÄN</t>
        </is>
      </c>
      <c r="G356" t="inlineStr">
        <is>
          <t>MOTALA</t>
        </is>
      </c>
      <c r="H356" t="inlineStr">
        <is>
          <t>Allmännings- och besparingsskogar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46256</v>
      </c>
      <c r="F357" t="inlineStr">
        <is>
          <t>ÖSTERGÖTLANDS LÄN</t>
        </is>
      </c>
      <c r="G357" t="inlineStr">
        <is>
          <t>MOTALA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46256</v>
      </c>
      <c r="F358" t="inlineStr">
        <is>
          <t>ÖSTERGÖTLANDS LÄN</t>
        </is>
      </c>
      <c r="G358" t="inlineStr">
        <is>
          <t>MOTALA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46256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44804</v>
      </c>
      <c r="E360" s="1" t="n">
        <v>46256</v>
      </c>
      <c r="F360" t="inlineStr">
        <is>
          <t>ÖSTERGÖTLANDS LÄN</t>
        </is>
      </c>
      <c r="G360" t="inlineStr">
        <is>
          <t>MOTALA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15551-2026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46106</v>
      </c>
      <c r="E361" s="1" t="n">
        <v>46256</v>
      </c>
      <c r="F361" t="inlineStr">
        <is>
          <t>ÖSTERGÖTLANDS LÄN</t>
        </is>
      </c>
      <c r="G361" t="inlineStr">
        <is>
          <t>MOTALA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46256</v>
      </c>
      <c r="F362" t="inlineStr">
        <is>
          <t>ÖSTERGÖTLANDS LÄN</t>
        </is>
      </c>
      <c r="G362" t="inlineStr">
        <is>
          <t>MOTALA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46256</v>
      </c>
      <c r="F363" t="inlineStr">
        <is>
          <t>ÖSTERGÖTLANDS LÄN</t>
        </is>
      </c>
      <c r="G363" t="inlineStr">
        <is>
          <t>MOTALA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43905-2021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44434</v>
      </c>
      <c r="E364" s="1" t="n">
        <v>46256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46256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46256</v>
      </c>
      <c r="F366" t="inlineStr">
        <is>
          <t>ÖSTERGÖTLANDS LÄN</t>
        </is>
      </c>
      <c r="G366" t="inlineStr">
        <is>
          <t>MOTALA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46256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65561-2021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44516</v>
      </c>
      <c r="E368" s="1" t="n">
        <v>46256</v>
      </c>
      <c r="F368" t="inlineStr">
        <is>
          <t>ÖSTERGÖTLANDS LÄN</t>
        </is>
      </c>
      <c r="G368" t="inlineStr">
        <is>
          <t>MOTALA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32470-2022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44782</v>
      </c>
      <c r="E369" s="1" t="n">
        <v>46256</v>
      </c>
      <c r="F369" t="inlineStr">
        <is>
          <t>ÖSTERGÖTLANDS LÄN</t>
        </is>
      </c>
      <c r="G369" t="inlineStr">
        <is>
          <t>MOTALA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46256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46256</v>
      </c>
      <c r="F371" t="inlineStr">
        <is>
          <t>ÖSTERGÖTLANDS LÄN</t>
        </is>
      </c>
      <c r="G371" t="inlineStr">
        <is>
          <t>MOTALA</t>
        </is>
      </c>
      <c r="H371" t="inlineStr">
        <is>
          <t>Allmännings- och besparingsskogar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46256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46256</v>
      </c>
      <c r="F373" t="inlineStr">
        <is>
          <t>ÖSTERGÖTLANDS LÄN</t>
        </is>
      </c>
      <c r="G373" t="inlineStr">
        <is>
          <t>MOTALA</t>
        </is>
      </c>
      <c r="H373" t="inlineStr">
        <is>
          <t>Allmännings- och besparingsskogar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44573</v>
      </c>
      <c r="E374" s="1" t="n">
        <v>46256</v>
      </c>
      <c r="F374" t="inlineStr">
        <is>
          <t>ÖSTERGÖTLANDS LÄN</t>
        </is>
      </c>
      <c r="G374" t="inlineStr">
        <is>
          <t>MOTALA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46256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46256</v>
      </c>
      <c r="F376" t="inlineStr">
        <is>
          <t>ÖSTERGÖTLANDS LÄN</t>
        </is>
      </c>
      <c r="G376" t="inlineStr">
        <is>
          <t>MOTALA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46256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46256</v>
      </c>
      <c r="F378" t="inlineStr">
        <is>
          <t>ÖSTERGÖTLANDS LÄN</t>
        </is>
      </c>
      <c r="G378" t="inlineStr">
        <is>
          <t>MOTALA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46256</v>
      </c>
      <c r="F379" t="inlineStr">
        <is>
          <t>ÖSTERGÖTLANDS LÄN</t>
        </is>
      </c>
      <c r="G379" t="inlineStr">
        <is>
          <t>MOTALA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46256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46256</v>
      </c>
      <c r="F381" t="inlineStr">
        <is>
          <t>ÖSTERGÖTLANDS LÄN</t>
        </is>
      </c>
      <c r="G381" t="inlineStr">
        <is>
          <t>MOTALA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46256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46243</v>
      </c>
      <c r="E383" s="1" t="n">
        <v>46256</v>
      </c>
      <c r="F383" t="inlineStr">
        <is>
          <t>ÖSTERGÖTLANDS LÄN</t>
        </is>
      </c>
      <c r="G383" t="inlineStr">
        <is>
          <t>MOTALA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46681-2021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44445</v>
      </c>
      <c r="E384" s="1" t="n">
        <v>46256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46256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46256</v>
      </c>
      <c r="F386" t="inlineStr">
        <is>
          <t>ÖSTERGÖTLANDS LÄN</t>
        </is>
      </c>
      <c r="G386" t="inlineStr">
        <is>
          <t>MOTALA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58344-2022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46256</v>
      </c>
      <c r="F387" t="inlineStr">
        <is>
          <t>ÖSTERGÖTLANDS LÄN</t>
        </is>
      </c>
      <c r="G387" t="inlineStr">
        <is>
          <t>MOTALA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46256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29736-2026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46204</v>
      </c>
      <c r="E389" s="1" t="n">
        <v>46256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16586-2023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45030</v>
      </c>
      <c r="E390" s="1" t="n">
        <v>46256</v>
      </c>
      <c r="F390" t="inlineStr">
        <is>
          <t>ÖSTERGÖTLANDS LÄN</t>
        </is>
      </c>
      <c r="G390" t="inlineStr">
        <is>
          <t>MOTALA</t>
        </is>
      </c>
      <c r="H390" t="inlineStr">
        <is>
          <t>Kyrkan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46256</v>
      </c>
      <c r="F391" t="inlineStr">
        <is>
          <t>ÖSTERGÖTLANDS LÄN</t>
        </is>
      </c>
      <c r="G391" t="inlineStr">
        <is>
          <t>MOTALA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60029-2021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44494</v>
      </c>
      <c r="E392" s="1" t="n">
        <v>46256</v>
      </c>
      <c r="F392" t="inlineStr">
        <is>
          <t>ÖSTERGÖTLANDS LÄN</t>
        </is>
      </c>
      <c r="G392" t="inlineStr">
        <is>
          <t>MOTALA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46256</v>
      </c>
      <c r="F393" t="inlineStr">
        <is>
          <t>ÖSTERGÖTLANDS LÄN</t>
        </is>
      </c>
      <c r="G393" t="inlineStr">
        <is>
          <t>MOTALA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46256</v>
      </c>
      <c r="F394" t="inlineStr">
        <is>
          <t>ÖSTERGÖTLANDS LÄN</t>
        </is>
      </c>
      <c r="G394" t="inlineStr">
        <is>
          <t>MOTALA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46256</v>
      </c>
      <c r="F395" t="inlineStr">
        <is>
          <t>ÖSTERGÖTLANDS LÄN</t>
        </is>
      </c>
      <c r="G395" t="inlineStr">
        <is>
          <t>MOTALA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46256</v>
      </c>
      <c r="F396" t="inlineStr">
        <is>
          <t>ÖSTERGÖTLANDS LÄN</t>
        </is>
      </c>
      <c r="G396" t="inlineStr">
        <is>
          <t>MOTALA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52385-2025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46256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44679</v>
      </c>
      <c r="E398" s="1" t="n">
        <v>46256</v>
      </c>
      <c r="F398" t="inlineStr">
        <is>
          <t>ÖSTERGÖTLANDS LÄN</t>
        </is>
      </c>
      <c r="G398" t="inlineStr">
        <is>
          <t>MOTALA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46256</v>
      </c>
      <c r="F399" t="inlineStr">
        <is>
          <t>ÖSTERGÖTLANDS LÄN</t>
        </is>
      </c>
      <c r="G399" t="inlineStr">
        <is>
          <t>MOTALA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53322-2023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46256</v>
      </c>
      <c r="F400" t="inlineStr">
        <is>
          <t>ÖSTERGÖTLANDS LÄN</t>
        </is>
      </c>
      <c r="G400" t="inlineStr">
        <is>
          <t>MOTALA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46256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46256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46256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46256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46256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46256</v>
      </c>
      <c r="F406" t="inlineStr">
        <is>
          <t>ÖSTERGÖTLANDS LÄN</t>
        </is>
      </c>
      <c r="G406" t="inlineStr">
        <is>
          <t>MOTALA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46256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46256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46256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46256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46256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20815-2026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46141</v>
      </c>
      <c r="E412" s="1" t="n">
        <v>46256</v>
      </c>
      <c r="F412" t="inlineStr">
        <is>
          <t>ÖSTERGÖTLANDS LÄN</t>
        </is>
      </c>
      <c r="G412" t="inlineStr">
        <is>
          <t>MOTALA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46256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20.4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46256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46256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46256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46256</v>
      </c>
      <c r="F417" t="inlineStr">
        <is>
          <t>ÖSTERGÖTLANDS LÄN</t>
        </is>
      </c>
      <c r="G417" t="inlineStr">
        <is>
          <t>MOTALA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44931</v>
      </c>
      <c r="E418" s="1" t="n">
        <v>46256</v>
      </c>
      <c r="F418" t="inlineStr">
        <is>
          <t>ÖSTERGÖTLANDS LÄN</t>
        </is>
      </c>
      <c r="G418" t="inlineStr">
        <is>
          <t>MOTALA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46256</v>
      </c>
      <c r="F419" t="inlineStr">
        <is>
          <t>ÖSTERGÖTLANDS LÄN</t>
        </is>
      </c>
      <c r="G419" t="inlineStr">
        <is>
          <t>MOTALA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46256</v>
      </c>
      <c r="F420" t="inlineStr">
        <is>
          <t>ÖSTERGÖTLANDS LÄN</t>
        </is>
      </c>
      <c r="G420" t="inlineStr">
        <is>
          <t>MOTALA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59570-2022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44907</v>
      </c>
      <c r="E421" s="1" t="n">
        <v>46256</v>
      </c>
      <c r="F421" t="inlineStr">
        <is>
          <t>ÖSTERGÖTLANDS LÄN</t>
        </is>
      </c>
      <c r="G421" t="inlineStr">
        <is>
          <t>MOTALA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45812</v>
      </c>
      <c r="E422" s="1" t="n">
        <v>46256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29525-2024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45484</v>
      </c>
      <c r="E423" s="1" t="n">
        <v>46256</v>
      </c>
      <c r="F423" t="inlineStr">
        <is>
          <t>ÖSTERGÖTLANDS LÄN</t>
        </is>
      </c>
      <c r="G423" t="inlineStr">
        <is>
          <t>MOTALA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46158</v>
      </c>
      <c r="E424" s="1" t="n">
        <v>46256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46256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17.1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46256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45781</v>
      </c>
      <c r="E427" s="1" t="n">
        <v>46256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45708</v>
      </c>
      <c r="E428" s="1" t="n">
        <v>46256</v>
      </c>
      <c r="F428" t="inlineStr">
        <is>
          <t>ÖSTERGÖTLANDS LÄN</t>
        </is>
      </c>
      <c r="G428" t="inlineStr">
        <is>
          <t>MOTALA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46256</v>
      </c>
      <c r="F429" t="inlineStr">
        <is>
          <t>ÖSTERGÖTLANDS LÄN</t>
        </is>
      </c>
      <c r="G429" t="inlineStr">
        <is>
          <t>MOTALA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46256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22940-2026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46160</v>
      </c>
      <c r="E431" s="1" t="n">
        <v>46256</v>
      </c>
      <c r="F431" t="inlineStr">
        <is>
          <t>ÖSTERGÖTLANDS LÄN</t>
        </is>
      </c>
      <c r="G431" t="inlineStr">
        <is>
          <t>MOTALA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46256</v>
      </c>
      <c r="F432" t="inlineStr">
        <is>
          <t>ÖSTERGÖTLANDS LÄN</t>
        </is>
      </c>
      <c r="G432" t="inlineStr">
        <is>
          <t>MOTALA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46256</v>
      </c>
      <c r="F433" t="inlineStr">
        <is>
          <t>ÖSTERGÖTLANDS LÄN</t>
        </is>
      </c>
      <c r="G433" t="inlineStr">
        <is>
          <t>MOTALA</t>
        </is>
      </c>
      <c r="H433" t="inlineStr">
        <is>
          <t>Allmännings- och besparingsskogar</t>
        </is>
      </c>
      <c r="I433" t="n">
        <v>37.7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45469</v>
      </c>
      <c r="E434" s="1" t="n">
        <v>46256</v>
      </c>
      <c r="F434" t="inlineStr">
        <is>
          <t>ÖSTERGÖTLANDS LÄN</t>
        </is>
      </c>
      <c r="G434" t="inlineStr">
        <is>
          <t>MOTALA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46256</v>
      </c>
      <c r="F435" t="inlineStr">
        <is>
          <t>ÖSTERGÖTLANDS LÄN</t>
        </is>
      </c>
      <c r="G435" t="inlineStr">
        <is>
          <t>MOTALA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46256</v>
      </c>
      <c r="F436" t="inlineStr">
        <is>
          <t>ÖSTERGÖTLANDS LÄN</t>
        </is>
      </c>
      <c r="G436" t="inlineStr">
        <is>
          <t>MOTALA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46256</v>
      </c>
      <c r="F437" t="inlineStr">
        <is>
          <t>ÖSTERGÖTLANDS LÄN</t>
        </is>
      </c>
      <c r="G437" t="inlineStr">
        <is>
          <t>MOTALA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46256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46256</v>
      </c>
      <c r="F439" t="inlineStr">
        <is>
          <t>ÖSTERGÖTLANDS LÄN</t>
        </is>
      </c>
      <c r="G439" t="inlineStr">
        <is>
          <t>MOTALA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46256</v>
      </c>
      <c r="F440" t="inlineStr">
        <is>
          <t>ÖSTERGÖTLANDS LÄN</t>
        </is>
      </c>
      <c r="G440" t="inlineStr">
        <is>
          <t>MOTALA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46256</v>
      </c>
      <c r="F441" t="inlineStr">
        <is>
          <t>ÖSTERGÖTLANDS LÄN</t>
        </is>
      </c>
      <c r="G441" t="inlineStr">
        <is>
          <t>MOTALA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46256</v>
      </c>
      <c r="F442" t="inlineStr">
        <is>
          <t>ÖSTERGÖTLANDS LÄN</t>
        </is>
      </c>
      <c r="G442" t="inlineStr">
        <is>
          <t>MOTALA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45630</v>
      </c>
      <c r="E443" s="1" t="n">
        <v>46256</v>
      </c>
      <c r="F443" t="inlineStr">
        <is>
          <t>ÖSTERGÖTLANDS LÄN</t>
        </is>
      </c>
      <c r="G443" t="inlineStr">
        <is>
          <t>MOTALA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46256</v>
      </c>
      <c r="F444" t="inlineStr">
        <is>
          <t>ÖSTERGÖTLANDS LÄN</t>
        </is>
      </c>
      <c r="G444" t="inlineStr">
        <is>
          <t>MOTALA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46256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3262-2024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45526</v>
      </c>
      <c r="E446" s="1" t="n">
        <v>46256</v>
      </c>
      <c r="F446" t="inlineStr">
        <is>
          <t>ÖSTERGÖTLANDS LÄN</t>
        </is>
      </c>
      <c r="G446" t="inlineStr">
        <is>
          <t>MOTALA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3481-2023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45205</v>
      </c>
      <c r="E447" s="1" t="n">
        <v>46256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2511-2024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45474</v>
      </c>
      <c r="E448" s="1" t="n">
        <v>46256</v>
      </c>
      <c r="F448" t="inlineStr">
        <is>
          <t>ÖSTERGÖTLANDS LÄN</t>
        </is>
      </c>
      <c r="G448" t="inlineStr">
        <is>
          <t>MOTALA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2535-2024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46256</v>
      </c>
      <c r="F449" t="inlineStr">
        <is>
          <t>ÖSTERGÖTLANDS LÄN</t>
        </is>
      </c>
      <c r="G449" t="inlineStr">
        <is>
          <t>MOTALA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1264-2025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45763</v>
      </c>
      <c r="E450" s="1" t="n">
        <v>46256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1475-2025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45786</v>
      </c>
      <c r="E451" s="1" t="n">
        <v>46256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1584-2025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45796</v>
      </c>
      <c r="E452" s="1" t="n">
        <v>46256</v>
      </c>
      <c r="F452" t="inlineStr">
        <is>
          <t>ÖSTERGÖTLANDS LÄN</t>
        </is>
      </c>
      <c r="G452" t="inlineStr">
        <is>
          <t>MOTALA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421-2026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46071</v>
      </c>
      <c r="E453" s="1" t="n">
        <v>46256</v>
      </c>
      <c r="F453" t="inlineStr">
        <is>
          <t>ÖSTERGÖTLANDS LÄN</t>
        </is>
      </c>
      <c r="G453" t="inlineStr">
        <is>
          <t>MOTALA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523-2026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46077</v>
      </c>
      <c r="E454" s="1" t="n">
        <v>46256</v>
      </c>
      <c r="F454" t="inlineStr">
        <is>
          <t>ÖSTERGÖTLANDS LÄN</t>
        </is>
      </c>
      <c r="G454" t="inlineStr">
        <is>
          <t>MOTALA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820-2026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46104</v>
      </c>
      <c r="E455" s="1" t="n">
        <v>46256</v>
      </c>
      <c r="F455" t="inlineStr">
        <is>
          <t>ÖSTERGÖTLANDS LÄN</t>
        </is>
      </c>
      <c r="G455" t="inlineStr">
        <is>
          <t>MOTALA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2026-08-22T01:46:25Z</dcterms:created>
  <dcterms:modified xmlns:dcterms="http://purl.org/dc/terms/" xmlns:xsi="http://www.w3.org/2001/XMLSchema-instance" xsi:type="dcterms:W3CDTF">2026-08-22T01:46:25Z</dcterms:modified>
</cp:coreProperties>
</file>