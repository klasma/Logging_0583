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46314</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46314</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46314</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46314</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46314</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46314</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46314</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37040-2026</t>
        </is>
      </c>
      <c r="B9" t="inlineStr">
        <is>
          <t>avverkningsanmälan</t>
        </is>
      </c>
      <c r="C9" t="inlineStr">
        <is>
          <t>Föryngringsavverkning</t>
        </is>
      </c>
      <c r="D9" s="1" t="n">
        <v>46273</v>
      </c>
      <c r="E9" s="1" t="n">
        <v>46314</v>
      </c>
      <c r="F9" t="inlineStr">
        <is>
          <t>ÖSTERGÖTLANDS LÄN</t>
        </is>
      </c>
      <c r="G9" t="inlineStr">
        <is>
          <t>MOTALA</t>
        </is>
      </c>
      <c r="I9" t="n">
        <v>5.1</v>
      </c>
      <c r="J9" t="n">
        <v>3</v>
      </c>
      <c r="K9" t="n">
        <v>4</v>
      </c>
      <c r="L9" t="n">
        <v>0</v>
      </c>
      <c r="M9" t="n">
        <v>1</v>
      </c>
      <c r="N9" t="n">
        <v>0</v>
      </c>
      <c r="O9" t="n">
        <v>0</v>
      </c>
      <c r="P9" t="n">
        <v>0</v>
      </c>
      <c r="Q9" t="n">
        <v>1</v>
      </c>
      <c r="R9" t="n">
        <v>1</v>
      </c>
      <c r="S9" t="n">
        <v>7</v>
      </c>
      <c r="T9" t="n">
        <v>20</v>
      </c>
      <c r="U9" t="n">
        <v>20</v>
      </c>
      <c r="V9" s="2" t="inlineStr">
        <is>
          <t>Knärot
Björksplintborre
Blomkålssvamp
Gullgröppa
Thomsons trägnagare
Tofsmes
Revlummer</t>
        </is>
      </c>
      <c r="W9">
        <f>HYPERLINK("https://klasma.github.io/Logging_0583/artfynd/A 37040-2026 artfynd.xlsx", "A 37040-2026")</f>
        <v/>
      </c>
      <c r="X9">
        <f>HYPERLINK("https://klasma.github.io/Logging_0583/kartor/A 37040-2026 karta.png", "A 37040-2026")</f>
        <v/>
      </c>
      <c r="Y9">
        <f>HYPERLINK("https://klasma.github.io/Logging_0583/kartor_geotiff/A 37040-2026 georefererad karta.tif", "A 37040-2026")</f>
        <v/>
      </c>
      <c r="Z9">
        <f>HYPERLINK("https://klasma.github.io/Logging_0583/knärot/A 37040-2026 karta knärot.png", "A 37040-2026")</f>
        <v/>
      </c>
      <c r="AA9">
        <f>HYPERLINK("https://klasma.github.io/Logging_0583/klagomål/A 37040-2026 FSC-klagomål.docx", "A 37040-2026")</f>
        <v/>
      </c>
      <c r="AB9">
        <f>HYPERLINK("https://klasma.github.io/Logging_0583/klagomålsmail/A 37040-2026 FSC-klagomål mail.docx", "A 37040-2026")</f>
        <v/>
      </c>
      <c r="AC9">
        <f>HYPERLINK("https://klasma.github.io/Logging_0583/tillsyn/A 37040-2026 tillsynsbegäran.docx", "A 37040-2026")</f>
        <v/>
      </c>
      <c r="AD9">
        <f>HYPERLINK("https://klasma.github.io/Logging_0583/tillsynsmail/A 37040-2026 tillsynsbegäran mail.docx", "A 37040-2026")</f>
        <v/>
      </c>
    </row>
    <row r="10" ht="15" customHeight="1">
      <c r="A10" t="inlineStr">
        <is>
          <t>A 49715-2024</t>
        </is>
      </c>
      <c r="B10" t="inlineStr">
        <is>
          <t>avverkningsanmälan</t>
        </is>
      </c>
      <c r="C10" t="inlineStr">
        <is>
          <t>Föryngringsavverkning</t>
        </is>
      </c>
      <c r="D10" s="1" t="n">
        <v>45596</v>
      </c>
      <c r="E10" s="1" t="n">
        <v>46314</v>
      </c>
      <c r="F10" t="inlineStr">
        <is>
          <t>ÖSTERGÖTLANDS LÄN</t>
        </is>
      </c>
      <c r="G10" t="inlineStr">
        <is>
          <t>MOTALA</t>
        </is>
      </c>
      <c r="H10" t="inlineStr">
        <is>
          <t>Kyrkan</t>
        </is>
      </c>
      <c r="I10" t="n">
        <v>14.1</v>
      </c>
      <c r="J10" t="n">
        <v>2</v>
      </c>
      <c r="K10" t="n">
        <v>3</v>
      </c>
      <c r="L10" t="n">
        <v>3</v>
      </c>
      <c r="M10" t="n">
        <v>0</v>
      </c>
      <c r="N10" t="n">
        <v>0</v>
      </c>
      <c r="O10" t="n">
        <v>0</v>
      </c>
      <c r="P10" t="n">
        <v>0</v>
      </c>
      <c r="Q10" t="n">
        <v>3</v>
      </c>
      <c r="R10" t="n">
        <v>0</v>
      </c>
      <c r="S10" t="n">
        <v>7</v>
      </c>
      <c r="T10" t="n">
        <v>14</v>
      </c>
      <c r="U10" t="n">
        <v>14</v>
      </c>
      <c r="V10" s="2" t="inlineStr">
        <is>
          <t>Dropptaggsvamp
Motaggsvamp
Talltita
Bronshjon
Flagellkvastmossa
Grovticka
Spillkråka</t>
        </is>
      </c>
      <c r="W10">
        <f>HYPERLINK("https://klasma.github.io/Logging_0583/artfynd/A 49715-2024 artfynd.xlsx", "A 49715-2024")</f>
        <v/>
      </c>
      <c r="X10">
        <f>HYPERLINK("https://klasma.github.io/Logging_0583/kartor/A 49715-2024 karta.png", "A 49715-2024")</f>
        <v/>
      </c>
      <c r="Y10">
        <f>HYPERLINK("https://klasma.github.io/Logging_0583/kartor_geotiff/A 49715-2024 georefererad karta.tif", "A 49715-2024")</f>
        <v/>
      </c>
      <c r="AA10">
        <f>HYPERLINK("https://klasma.github.io/Logging_0583/klagomål/A 49715-2024 FSC-klagomål.docx", "A 49715-2024")</f>
        <v/>
      </c>
      <c r="AB10">
        <f>HYPERLINK("https://klasma.github.io/Logging_0583/klagomålsmail/A 49715-2024 FSC-klagomål mail.docx", "A 49715-2024")</f>
        <v/>
      </c>
      <c r="AC10">
        <f>HYPERLINK("https://klasma.github.io/Logging_0583/tillsyn/A 49715-2024 tillsynsbegäran.docx", "A 49715-2024")</f>
        <v/>
      </c>
      <c r="AD10">
        <f>HYPERLINK("https://klasma.github.io/Logging_0583/tillsynsmail/A 49715-2024 tillsynsbegäran mail.docx", "A 49715-2024")</f>
        <v/>
      </c>
      <c r="AE10">
        <f>HYPERLINK("https://klasma.github.io/Logging_0583/fåglar/A 49715-2024 prioriterade fågelarter.docx", "A 49715-2024")</f>
        <v/>
      </c>
    </row>
    <row r="11" ht="15" customHeight="1">
      <c r="A11" t="inlineStr">
        <is>
          <t>A 32488-2026</t>
        </is>
      </c>
      <c r="B11" t="inlineStr">
        <is>
          <t>avverkningsanmälan</t>
        </is>
      </c>
      <c r="C11" t="inlineStr">
        <is>
          <t>Föryngringsavverkning</t>
        </is>
      </c>
      <c r="D11" s="1" t="n">
        <v>46239</v>
      </c>
      <c r="E11" s="1" t="n">
        <v>46314</v>
      </c>
      <c r="F11" t="inlineStr">
        <is>
          <t>ÖSTERGÖTLANDS LÄN</t>
        </is>
      </c>
      <c r="G11" t="inlineStr">
        <is>
          <t>MOTALA</t>
        </is>
      </c>
      <c r="I11" t="n">
        <v>2.5</v>
      </c>
      <c r="J11" t="n">
        <v>3</v>
      </c>
      <c r="K11" t="n">
        <v>4</v>
      </c>
      <c r="L11" t="n">
        <v>0</v>
      </c>
      <c r="M11" t="n">
        <v>1</v>
      </c>
      <c r="N11" t="n">
        <v>0</v>
      </c>
      <c r="O11" t="n">
        <v>0</v>
      </c>
      <c r="P11" t="n">
        <v>0</v>
      </c>
      <c r="Q11" t="n">
        <v>1</v>
      </c>
      <c r="R11" t="n">
        <v>1</v>
      </c>
      <c r="S11" t="n">
        <v>7</v>
      </c>
      <c r="T11" t="n">
        <v>10</v>
      </c>
      <c r="U11" t="n">
        <v>10</v>
      </c>
      <c r="V11" s="2" t="inlineStr">
        <is>
          <t>Knärot
Bronshjon
Mindre märgborre
Thomsons trägnagare
Vågbandad barkbock
Spillkråka
Revlummer</t>
        </is>
      </c>
      <c r="W11">
        <f>HYPERLINK("https://klasma.github.io/Logging_0583/artfynd/A 32488-2026 artfynd.xlsx", "A 32488-2026")</f>
        <v/>
      </c>
      <c r="X11">
        <f>HYPERLINK("https://klasma.github.io/Logging_0583/kartor/A 32488-2026 karta.png", "A 32488-2026")</f>
        <v/>
      </c>
      <c r="Y11">
        <f>HYPERLINK("https://klasma.github.io/Logging_0583/kartor_geotiff/A 32488-2026 georefererad karta.tif", "A 32488-2026")</f>
        <v/>
      </c>
      <c r="Z11">
        <f>HYPERLINK("https://klasma.github.io/Logging_0583/knärot/A 32488-2026 karta knärot.png", "A 32488-2026")</f>
        <v/>
      </c>
      <c r="AA11">
        <f>HYPERLINK("https://klasma.github.io/Logging_0583/klagomål/A 32488-2026 FSC-klagomål.docx", "A 32488-2026")</f>
        <v/>
      </c>
      <c r="AB11">
        <f>HYPERLINK("https://klasma.github.io/Logging_0583/klagomålsmail/A 32488-2026 FSC-klagomål mail.docx", "A 32488-2026")</f>
        <v/>
      </c>
      <c r="AC11">
        <f>HYPERLINK("https://klasma.github.io/Logging_0583/tillsyn/A 32488-2026 tillsynsbegäran.docx", "A 32488-2026")</f>
        <v/>
      </c>
      <c r="AD11">
        <f>HYPERLINK("https://klasma.github.io/Logging_0583/tillsynsmail/A 32488-2026 tillsynsbegäran mail.docx", "A 32488-2026")</f>
        <v/>
      </c>
      <c r="AE11">
        <f>HYPERLINK("https://klasma.github.io/Logging_0583/fåglar/A 32488-2026 prioriterade fågelarter.docx", "A 32488-2026")</f>
        <v/>
      </c>
    </row>
    <row r="12" ht="15" customHeight="1">
      <c r="A12" t="inlineStr">
        <is>
          <t>S 433-2024</t>
        </is>
      </c>
      <c r="B12" t="inlineStr">
        <is>
          <t>samrådsanmälan</t>
        </is>
      </c>
      <c r="C12" t="inlineStr">
        <is>
          <t>Annan skogsbruksåtgärd</t>
        </is>
      </c>
      <c r="D12" s="1" t="n">
        <v>45337</v>
      </c>
      <c r="E12" s="1" t="n">
        <v>46314</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46314</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46314</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46314</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63217-2025</t>
        </is>
      </c>
      <c r="B16" t="inlineStr">
        <is>
          <t>avverkningsanmälan</t>
        </is>
      </c>
      <c r="C16" t="inlineStr">
        <is>
          <t>Föryngringsavverkning</t>
        </is>
      </c>
      <c r="D16" s="1" t="n">
        <v>46010</v>
      </c>
      <c r="E16" s="1" t="n">
        <v>46314</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27273-2026</t>
        </is>
      </c>
      <c r="B17" t="inlineStr">
        <is>
          <t>avverkningsanmälan</t>
        </is>
      </c>
      <c r="C17" t="inlineStr">
        <is>
          <t>Föryngringsavverkning</t>
        </is>
      </c>
      <c r="D17" s="1" t="n">
        <v>46188</v>
      </c>
      <c r="E17" s="1" t="n">
        <v>46314</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17738-2026</t>
        </is>
      </c>
      <c r="B18" t="inlineStr">
        <is>
          <t>avverkningsanmälan</t>
        </is>
      </c>
      <c r="C18" t="inlineStr">
        <is>
          <t>Föryngringsavverkning</t>
        </is>
      </c>
      <c r="D18" s="1" t="n">
        <v>46122</v>
      </c>
      <c r="E18" s="1" t="n">
        <v>46314</v>
      </c>
      <c r="F18" t="inlineStr">
        <is>
          <t>ÖSTERGÖTLANDS LÄN</t>
        </is>
      </c>
      <c r="G18" t="inlineStr">
        <is>
          <t>MOTALA</t>
        </is>
      </c>
      <c r="H18" t="inlineStr">
        <is>
          <t>Sveaskog</t>
        </is>
      </c>
      <c r="I18" t="n">
        <v>8.699999999999999</v>
      </c>
      <c r="J18" t="n">
        <v>2</v>
      </c>
      <c r="K18" t="n">
        <v>3</v>
      </c>
      <c r="L18" t="n">
        <v>1</v>
      </c>
      <c r="M18" t="n">
        <v>1</v>
      </c>
      <c r="N18" t="n">
        <v>0</v>
      </c>
      <c r="O18" t="n">
        <v>0</v>
      </c>
      <c r="P18" t="n">
        <v>0</v>
      </c>
      <c r="Q18" t="n">
        <v>2</v>
      </c>
      <c r="R18" t="n">
        <v>1</v>
      </c>
      <c r="S18" t="n">
        <v>6</v>
      </c>
      <c r="T18" t="n">
        <v>10</v>
      </c>
      <c r="U18" t="n">
        <v>10</v>
      </c>
      <c r="V18" s="2" t="inlineStr">
        <is>
          <t>Knärot
Gullpudra
Björksplintborre
Thomsons trägnagare
Vågbandad barkbock
Blåsippa</t>
        </is>
      </c>
      <c r="W18">
        <f>HYPERLINK("https://klasma.github.io/Logging_0583/artfynd/A 17738-2026 artfynd.xlsx", "A 17738-2026")</f>
        <v/>
      </c>
      <c r="X18">
        <f>HYPERLINK("https://klasma.github.io/Logging_0583/kartor/A 17738-2026 karta.png", "A 17738-2026")</f>
        <v/>
      </c>
      <c r="Y18">
        <f>HYPERLINK("https://klasma.github.io/Logging_0583/kartor_geotiff/A 17738-2026 georefererad karta.tif", "A 17738-2026")</f>
        <v/>
      </c>
      <c r="Z18">
        <f>HYPERLINK("https://klasma.github.io/Logging_0583/knärot/A 17738-2026 karta knärot.png", "A 17738-2026")</f>
        <v/>
      </c>
      <c r="AA18">
        <f>HYPERLINK("https://klasma.github.io/Logging_0583/klagomål/A 17738-2026 FSC-klagomål.docx", "A 17738-2026")</f>
        <v/>
      </c>
      <c r="AB18">
        <f>HYPERLINK("https://klasma.github.io/Logging_0583/klagomålsmail/A 17738-2026 FSC-klagomål mail.docx", "A 17738-2026")</f>
        <v/>
      </c>
      <c r="AC18">
        <f>HYPERLINK("https://klasma.github.io/Logging_0583/tillsyn/A 17738-2026 tillsynsbegäran.docx", "A 17738-2026")</f>
        <v/>
      </c>
      <c r="AD18">
        <f>HYPERLINK("https://klasma.github.io/Logging_0583/tillsynsmail/A 17738-2026 tillsynsbegäran mail.docx", "A 17738-2026")</f>
        <v/>
      </c>
    </row>
    <row r="19" ht="15" customHeight="1">
      <c r="A19" t="inlineStr">
        <is>
          <t>A 3721-2023</t>
        </is>
      </c>
      <c r="B19" t="inlineStr">
        <is>
          <t>avverkningsanmälan</t>
        </is>
      </c>
      <c r="C19" t="inlineStr">
        <is>
          <t>Föryngringsavverkning</t>
        </is>
      </c>
      <c r="D19" s="1" t="n">
        <v>44951</v>
      </c>
      <c r="E19" s="1" t="n">
        <v>46314</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46314</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46314</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46314</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1931-2025</t>
        </is>
      </c>
      <c r="B23" t="inlineStr">
        <is>
          <t>avverkningsanmälan</t>
        </is>
      </c>
      <c r="C23" t="inlineStr">
        <is>
          <t>Föryngringsavverkning</t>
        </is>
      </c>
      <c r="D23" s="1" t="n">
        <v>45671</v>
      </c>
      <c r="E23" s="1" t="n">
        <v>46314</v>
      </c>
      <c r="F23" t="inlineStr">
        <is>
          <t>ÖSTERGÖTLANDS LÄN</t>
        </is>
      </c>
      <c r="G23" t="inlineStr">
        <is>
          <t>MOTALA</t>
        </is>
      </c>
      <c r="H23" t="inlineStr">
        <is>
          <t>Allmännings- och besparingsskogar</t>
        </is>
      </c>
      <c r="I23" t="n">
        <v>17.4</v>
      </c>
      <c r="J23" t="n">
        <v>2</v>
      </c>
      <c r="K23" t="n">
        <v>1</v>
      </c>
      <c r="L23" t="n">
        <v>0</v>
      </c>
      <c r="M23" t="n">
        <v>0</v>
      </c>
      <c r="N23" t="n">
        <v>0</v>
      </c>
      <c r="O23" t="n">
        <v>0</v>
      </c>
      <c r="P23" t="n">
        <v>0</v>
      </c>
      <c r="Q23" t="n">
        <v>0</v>
      </c>
      <c r="R23" t="n">
        <v>0</v>
      </c>
      <c r="S23" t="n">
        <v>3</v>
      </c>
      <c r="T23" t="n">
        <v>3</v>
      </c>
      <c r="U23" t="n">
        <v>0</v>
      </c>
      <c r="V23" s="2" t="inlineStr">
        <is>
          <t>Grovticka
Tjäder
Nattviol</t>
        </is>
      </c>
      <c r="W23">
        <f>HYPERLINK("https://klasma.github.io/Logging_0583/artfynd/A 1931-2025 artfynd.xlsx", "A 1931-2025")</f>
        <v/>
      </c>
      <c r="X23">
        <f>HYPERLINK("https://klasma.github.io/Logging_0583/kartor/A 1931-2025 karta.png", "A 1931-2025")</f>
        <v/>
      </c>
      <c r="Y23">
        <f>HYPERLINK("https://klasma.github.io/Logging_0583/kartor_geotiff/A 1931-2025 georefererad karta.tif", "A 1931-2025")</f>
        <v/>
      </c>
      <c r="AA23">
        <f>HYPERLINK("https://klasma.github.io/Logging_0583/klagomål/A 1931-2025 FSC-klagomål.docx", "A 1931-2025")</f>
        <v/>
      </c>
      <c r="AB23">
        <f>HYPERLINK("https://klasma.github.io/Logging_0583/klagomålsmail/A 1931-2025 FSC-klagomål mail.docx", "A 1931-2025")</f>
        <v/>
      </c>
      <c r="AC23">
        <f>HYPERLINK("https://klasma.github.io/Logging_0583/tillsyn/A 1931-2025 tillsynsbegäran.docx", "A 1931-2025")</f>
        <v/>
      </c>
      <c r="AD23">
        <f>HYPERLINK("https://klasma.github.io/Logging_0583/tillsynsmail/A 1931-2025 tillsynsbegäran mail.docx", "A 1931-2025")</f>
        <v/>
      </c>
      <c r="AE23">
        <f>HYPERLINK("https://klasma.github.io/Logging_0583/fåglar/A 1931-2025 prioriterade fågelarter.docx", "A 1931-2025")</f>
        <v/>
      </c>
    </row>
    <row r="24" ht="15" customHeight="1">
      <c r="A24" t="inlineStr">
        <is>
          <t>A 49690-2024</t>
        </is>
      </c>
      <c r="B24" t="inlineStr">
        <is>
          <t>avverkningsanmälan</t>
        </is>
      </c>
      <c r="C24" t="inlineStr">
        <is>
          <t>Föryngringsavverkning</t>
        </is>
      </c>
      <c r="D24" s="1" t="n">
        <v>45596</v>
      </c>
      <c r="E24" s="1" t="n">
        <v>46314</v>
      </c>
      <c r="F24" t="inlineStr">
        <is>
          <t>ÖSTERGÖTLANDS LÄN</t>
        </is>
      </c>
      <c r="G24" t="inlineStr">
        <is>
          <t>MOTALA</t>
        </is>
      </c>
      <c r="H24" t="inlineStr">
        <is>
          <t>Kyrkan</t>
        </is>
      </c>
      <c r="I24" t="n">
        <v>11.4</v>
      </c>
      <c r="J24" t="n">
        <v>1</v>
      </c>
      <c r="K24" t="n">
        <v>1</v>
      </c>
      <c r="L24" t="n">
        <v>1</v>
      </c>
      <c r="M24" t="n">
        <v>0</v>
      </c>
      <c r="N24" t="n">
        <v>0</v>
      </c>
      <c r="O24" t="n">
        <v>0</v>
      </c>
      <c r="P24" t="n">
        <v>0</v>
      </c>
      <c r="Q24" t="n">
        <v>1</v>
      </c>
      <c r="R24" t="n">
        <v>0</v>
      </c>
      <c r="S24" t="n">
        <v>3</v>
      </c>
      <c r="T24" t="n">
        <v>4</v>
      </c>
      <c r="U24" t="n">
        <v>4</v>
      </c>
      <c r="V24" s="2" t="inlineStr">
        <is>
          <t>Tallticka
Mindre märgborre
Revlummer</t>
        </is>
      </c>
      <c r="W24">
        <f>HYPERLINK("https://klasma.github.io/Logging_0583/artfynd/A 49690-2024 artfynd.xlsx", "A 49690-2024")</f>
        <v/>
      </c>
      <c r="X24">
        <f>HYPERLINK("https://klasma.github.io/Logging_0583/kartor/A 49690-2024 karta.png", "A 49690-2024")</f>
        <v/>
      </c>
      <c r="Y24">
        <f>HYPERLINK("https://klasma.github.io/Logging_0583/kartor_geotiff/A 49690-2024 georefererad karta.tif", "A 49690-2024")</f>
        <v/>
      </c>
      <c r="AA24">
        <f>HYPERLINK("https://klasma.github.io/Logging_0583/klagomål/A 49690-2024 FSC-klagomål.docx", "A 49690-2024")</f>
        <v/>
      </c>
      <c r="AB24">
        <f>HYPERLINK("https://klasma.github.io/Logging_0583/klagomålsmail/A 49690-2024 FSC-klagomål mail.docx", "A 49690-2024")</f>
        <v/>
      </c>
      <c r="AC24">
        <f>HYPERLINK("https://klasma.github.io/Logging_0583/tillsyn/A 49690-2024 tillsynsbegäran.docx", "A 49690-2024")</f>
        <v/>
      </c>
      <c r="AD24">
        <f>HYPERLINK("https://klasma.github.io/Logging_0583/tillsynsmail/A 49690-2024 tillsynsbegäran mail.docx", "A 49690-2024")</f>
        <v/>
      </c>
    </row>
    <row r="25" ht="15" customHeight="1">
      <c r="A25" t="inlineStr">
        <is>
          <t>A 11145-2026</t>
        </is>
      </c>
      <c r="B25" t="inlineStr">
        <is>
          <t>avverkningsanmälan</t>
        </is>
      </c>
      <c r="C25" t="inlineStr">
        <is>
          <t>Föryngringsavverkning</t>
        </is>
      </c>
      <c r="D25" s="1" t="n">
        <v>46080</v>
      </c>
      <c r="E25" s="1" t="n">
        <v>46314</v>
      </c>
      <c r="F25" t="inlineStr">
        <is>
          <t>ÖSTERGÖTLANDS LÄN</t>
        </is>
      </c>
      <c r="G25" t="inlineStr">
        <is>
          <t>MOTALA</t>
        </is>
      </c>
      <c r="H25" t="inlineStr">
        <is>
          <t>Kyrkan</t>
        </is>
      </c>
      <c r="I25" t="n">
        <v>10.9</v>
      </c>
      <c r="J25" t="n">
        <v>1</v>
      </c>
      <c r="K25" t="n">
        <v>1</v>
      </c>
      <c r="L25" t="n">
        <v>1</v>
      </c>
      <c r="M25" t="n">
        <v>0</v>
      </c>
      <c r="N25" t="n">
        <v>0</v>
      </c>
      <c r="O25" t="n">
        <v>0</v>
      </c>
      <c r="P25" t="n">
        <v>0</v>
      </c>
      <c r="Q25" t="n">
        <v>1</v>
      </c>
      <c r="R25" t="n">
        <v>0</v>
      </c>
      <c r="S25" t="n">
        <v>3</v>
      </c>
      <c r="T25" t="n">
        <v>3</v>
      </c>
      <c r="U25" t="n">
        <v>3</v>
      </c>
      <c r="V25" s="2" t="inlineStr">
        <is>
          <t>Tallticka
Björksplintborre
Spillkråka</t>
        </is>
      </c>
      <c r="W25">
        <f>HYPERLINK("https://klasma.github.io/Logging_0583/artfynd/A 11145-2026 artfynd.xlsx", "A 11145-2026")</f>
        <v/>
      </c>
      <c r="X25">
        <f>HYPERLINK("https://klasma.github.io/Logging_0583/kartor/A 11145-2026 karta.png", "A 11145-2026")</f>
        <v/>
      </c>
      <c r="Y25">
        <f>HYPERLINK("https://klasma.github.io/Logging_0583/kartor_geotiff/A 11145-2026 georefererad karta.tif", "A 11145-2026")</f>
        <v/>
      </c>
      <c r="AA25">
        <f>HYPERLINK("https://klasma.github.io/Logging_0583/klagomål/A 11145-2026 FSC-klagomål.docx", "A 11145-2026")</f>
        <v/>
      </c>
      <c r="AB25">
        <f>HYPERLINK("https://klasma.github.io/Logging_0583/klagomålsmail/A 11145-2026 FSC-klagomål mail.docx", "A 11145-2026")</f>
        <v/>
      </c>
      <c r="AC25">
        <f>HYPERLINK("https://klasma.github.io/Logging_0583/tillsyn/A 11145-2026 tillsynsbegäran.docx", "A 11145-2026")</f>
        <v/>
      </c>
      <c r="AD25">
        <f>HYPERLINK("https://klasma.github.io/Logging_0583/tillsynsmail/A 11145-2026 tillsynsbegäran mail.docx", "A 11145-2026")</f>
        <v/>
      </c>
      <c r="AE25">
        <f>HYPERLINK("https://klasma.github.io/Logging_0583/fåglar/A 11145-2026 prioriterade fågelarter.docx", "A 11145-2026")</f>
        <v/>
      </c>
    </row>
    <row r="26" ht="15" customHeight="1">
      <c r="A26" t="inlineStr">
        <is>
          <t>S 3349-2024</t>
        </is>
      </c>
      <c r="B26" t="inlineStr">
        <is>
          <t>samrådsanmälan</t>
        </is>
      </c>
      <c r="C26" t="inlineStr">
        <is>
          <t>Annan skogsbruksåtgärd</t>
        </is>
      </c>
      <c r="D26" s="1" t="n">
        <v>45531</v>
      </c>
      <c r="E26" s="1" t="n">
        <v>46314</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46314</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18894-2023</t>
        </is>
      </c>
      <c r="B28" t="inlineStr">
        <is>
          <t>avverkningsanmälan</t>
        </is>
      </c>
      <c r="C28" t="inlineStr">
        <is>
          <t>Föryngringsavverkning</t>
        </is>
      </c>
      <c r="D28" s="1" t="n">
        <v>45044</v>
      </c>
      <c r="E28" s="1" t="n">
        <v>46314</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20820-2026</t>
        </is>
      </c>
      <c r="B29" t="inlineStr">
        <is>
          <t>avverkningsanmälan</t>
        </is>
      </c>
      <c r="C29" t="inlineStr">
        <is>
          <t>Föryngringsavverkning</t>
        </is>
      </c>
      <c r="D29" s="1" t="n">
        <v>46141</v>
      </c>
      <c r="E29" s="1" t="n">
        <v>46314</v>
      </c>
      <c r="F29" t="inlineStr">
        <is>
          <t>ÖSTERGÖTLANDS LÄN</t>
        </is>
      </c>
      <c r="G29" t="inlineStr">
        <is>
          <t>MOTALA</t>
        </is>
      </c>
      <c r="I29" t="n">
        <v>3.3</v>
      </c>
      <c r="J29" t="n">
        <v>0</v>
      </c>
      <c r="K29" t="n">
        <v>0</v>
      </c>
      <c r="L29" t="n">
        <v>0</v>
      </c>
      <c r="M29" t="n">
        <v>0</v>
      </c>
      <c r="N29" t="n">
        <v>0</v>
      </c>
      <c r="O29" t="n">
        <v>0</v>
      </c>
      <c r="P29" t="n">
        <v>0</v>
      </c>
      <c r="Q29" t="n">
        <v>0</v>
      </c>
      <c r="R29" t="n">
        <v>0</v>
      </c>
      <c r="S29" t="n">
        <v>2</v>
      </c>
      <c r="T29" t="n">
        <v>2</v>
      </c>
      <c r="U29" t="n">
        <v>2</v>
      </c>
      <c r="V29" s="2" t="inlineStr">
        <is>
          <t>Bergsslok
Storrams</t>
        </is>
      </c>
      <c r="W29">
        <f>HYPERLINK("https://klasma.github.io/Logging_0583/artfynd/A 20820-2026 artfynd.xlsx", "A 20820-2026")</f>
        <v/>
      </c>
      <c r="X29">
        <f>HYPERLINK("https://klasma.github.io/Logging_0583/kartor/A 20820-2026 karta.png", "A 20820-2026")</f>
        <v/>
      </c>
      <c r="Y29">
        <f>HYPERLINK("https://klasma.github.io/Logging_0583/kartor_geotiff/A 20820-2026 georefererad karta.tif", "A 20820-2026")</f>
        <v/>
      </c>
      <c r="AA29">
        <f>HYPERLINK("https://klasma.github.io/Logging_0583/klagomål/A 20820-2026 FSC-klagomål.docx", "A 20820-2026")</f>
        <v/>
      </c>
      <c r="AB29">
        <f>HYPERLINK("https://klasma.github.io/Logging_0583/klagomålsmail/A 20820-2026 FSC-klagomål mail.docx", "A 20820-2026")</f>
        <v/>
      </c>
      <c r="AC29">
        <f>HYPERLINK("https://klasma.github.io/Logging_0583/tillsyn/A 20820-2026 tillsynsbegäran.docx", "A 20820-2026")</f>
        <v/>
      </c>
      <c r="AD29">
        <f>HYPERLINK("https://klasma.github.io/Logging_0583/tillsynsmail/A 20820-2026 tillsynsbegäran mail.docx", "A 20820-2026")</f>
        <v/>
      </c>
    </row>
    <row r="30" ht="15" customHeight="1">
      <c r="A30" t="inlineStr">
        <is>
          <t>A 44938-2025</t>
        </is>
      </c>
      <c r="B30" t="inlineStr">
        <is>
          <t>avverkningsanmälan</t>
        </is>
      </c>
      <c r="C30" t="inlineStr">
        <is>
          <t>Föryngringsavverkning</t>
        </is>
      </c>
      <c r="D30" s="1" t="n">
        <v>45918</v>
      </c>
      <c r="E30" s="1" t="n">
        <v>46314</v>
      </c>
      <c r="F30" t="inlineStr">
        <is>
          <t>ÖSTERGÖTLANDS LÄN</t>
        </is>
      </c>
      <c r="G30" t="inlineStr">
        <is>
          <t>MOTALA</t>
        </is>
      </c>
      <c r="I30" t="n">
        <v>2.1</v>
      </c>
      <c r="J30" t="n">
        <v>1</v>
      </c>
      <c r="K30" t="n">
        <v>1</v>
      </c>
      <c r="L30" t="n">
        <v>0</v>
      </c>
      <c r="M30" t="n">
        <v>0</v>
      </c>
      <c r="N30" t="n">
        <v>0</v>
      </c>
      <c r="O30" t="n">
        <v>0</v>
      </c>
      <c r="P30" t="n">
        <v>0</v>
      </c>
      <c r="Q30" t="n">
        <v>0</v>
      </c>
      <c r="R30" t="n">
        <v>0</v>
      </c>
      <c r="S30" t="n">
        <v>2</v>
      </c>
      <c r="T30" t="n">
        <v>2</v>
      </c>
      <c r="U30" t="n">
        <v>2</v>
      </c>
      <c r="V30" s="2" t="inlineStr">
        <is>
          <t>Blomkålssvamp
Revlummer</t>
        </is>
      </c>
      <c r="W30">
        <f>HYPERLINK("https://klasma.github.io/Logging_0583/artfynd/A 44938-2025 artfynd.xlsx", "A 44938-2025")</f>
        <v/>
      </c>
      <c r="X30">
        <f>HYPERLINK("https://klasma.github.io/Logging_0583/kartor/A 44938-2025 karta.png", "A 44938-2025")</f>
        <v/>
      </c>
      <c r="Y30">
        <f>HYPERLINK("https://klasma.github.io/Logging_0583/kartor_geotiff/A 44938-2025 georefererad karta.tif", "A 44938-2025")</f>
        <v/>
      </c>
      <c r="AA30">
        <f>HYPERLINK("https://klasma.github.io/Logging_0583/klagomål/A 44938-2025 FSC-klagomål.docx", "A 44938-2025")</f>
        <v/>
      </c>
      <c r="AB30">
        <f>HYPERLINK("https://klasma.github.io/Logging_0583/klagomålsmail/A 44938-2025 FSC-klagomål mail.docx", "A 44938-2025")</f>
        <v/>
      </c>
      <c r="AC30">
        <f>HYPERLINK("https://klasma.github.io/Logging_0583/tillsyn/A 44938-2025 tillsynsbegäran.docx", "A 44938-2025")</f>
        <v/>
      </c>
      <c r="AD30">
        <f>HYPERLINK("https://klasma.github.io/Logging_0583/tillsynsmail/A 44938-2025 tillsynsbegäran mail.docx", "A 44938-2025")</f>
        <v/>
      </c>
    </row>
    <row r="31" ht="15" customHeight="1">
      <c r="A31" t="inlineStr">
        <is>
          <t>A 53201-2025</t>
        </is>
      </c>
      <c r="B31" t="inlineStr">
        <is>
          <t>avverkningsanmälan</t>
        </is>
      </c>
      <c r="C31" t="inlineStr">
        <is>
          <t>Föryngringsavverkning</t>
        </is>
      </c>
      <c r="D31" s="1" t="n">
        <v>45958</v>
      </c>
      <c r="E31" s="1" t="n">
        <v>46314</v>
      </c>
      <c r="F31" t="inlineStr">
        <is>
          <t>ÖSTERGÖTLANDS LÄN</t>
        </is>
      </c>
      <c r="G31" t="inlineStr">
        <is>
          <t>MOTALA</t>
        </is>
      </c>
      <c r="I31" t="n">
        <v>4.3</v>
      </c>
      <c r="J31" t="n">
        <v>1</v>
      </c>
      <c r="K31" t="n">
        <v>0</v>
      </c>
      <c r="L31" t="n">
        <v>1</v>
      </c>
      <c r="M31" t="n">
        <v>0</v>
      </c>
      <c r="N31" t="n">
        <v>0</v>
      </c>
      <c r="O31" t="n">
        <v>0</v>
      </c>
      <c r="P31" t="n">
        <v>0</v>
      </c>
      <c r="Q31" t="n">
        <v>1</v>
      </c>
      <c r="R31" t="n">
        <v>0</v>
      </c>
      <c r="S31" t="n">
        <v>2</v>
      </c>
      <c r="T31" t="n">
        <v>2</v>
      </c>
      <c r="U31" t="n">
        <v>0</v>
      </c>
      <c r="V31" s="2" t="inlineStr">
        <is>
          <t>Stallört
Kärrknipprot</t>
        </is>
      </c>
      <c r="W31">
        <f>HYPERLINK("https://klasma.github.io/Logging_0583/artfynd/A 53201-2025 artfynd.xlsx", "A 53201-2025")</f>
        <v/>
      </c>
      <c r="X31">
        <f>HYPERLINK("https://klasma.github.io/Logging_0583/kartor/A 53201-2025 karta.png", "A 53201-2025")</f>
        <v/>
      </c>
      <c r="Y31">
        <f>HYPERLINK("https://klasma.github.io/Logging_0583/kartor_geotiff/A 53201-2025 georefererad karta.tif", "A 53201-2025")</f>
        <v/>
      </c>
      <c r="AA31">
        <f>HYPERLINK("https://klasma.github.io/Logging_0583/klagomål/A 53201-2025 FSC-klagomål.docx", "A 53201-2025")</f>
        <v/>
      </c>
      <c r="AB31">
        <f>HYPERLINK("https://klasma.github.io/Logging_0583/klagomålsmail/A 53201-2025 FSC-klagomål mail.docx", "A 53201-2025")</f>
        <v/>
      </c>
      <c r="AC31">
        <f>HYPERLINK("https://klasma.github.io/Logging_0583/tillsyn/A 53201-2025 tillsynsbegäran.docx", "A 53201-2025")</f>
        <v/>
      </c>
      <c r="AD31">
        <f>HYPERLINK("https://klasma.github.io/Logging_0583/tillsynsmail/A 53201-2025 tillsynsbegäran mail.docx", "A 53201-2025")</f>
        <v/>
      </c>
    </row>
    <row r="32" ht="15" customHeight="1">
      <c r="A32" t="inlineStr">
        <is>
          <t>A 2153-2026</t>
        </is>
      </c>
      <c r="B32" t="inlineStr">
        <is>
          <t>avverkningsanmälan</t>
        </is>
      </c>
      <c r="C32" t="inlineStr">
        <is>
          <t>Föryngringsavverkning</t>
        </is>
      </c>
      <c r="D32" s="1" t="n">
        <v>46036</v>
      </c>
      <c r="E32" s="1" t="n">
        <v>46314</v>
      </c>
      <c r="F32" t="inlineStr">
        <is>
          <t>ÖSTERGÖTLANDS LÄN</t>
        </is>
      </c>
      <c r="G32" t="inlineStr">
        <is>
          <t>MOTALA</t>
        </is>
      </c>
      <c r="I32" t="n">
        <v>2.8</v>
      </c>
      <c r="J32" t="n">
        <v>1</v>
      </c>
      <c r="K32" t="n">
        <v>1</v>
      </c>
      <c r="L32" t="n">
        <v>0</v>
      </c>
      <c r="M32" t="n">
        <v>0</v>
      </c>
      <c r="N32" t="n">
        <v>0</v>
      </c>
      <c r="O32" t="n">
        <v>0</v>
      </c>
      <c r="P32" t="n">
        <v>0</v>
      </c>
      <c r="Q32" t="n">
        <v>0</v>
      </c>
      <c r="R32" t="n">
        <v>0</v>
      </c>
      <c r="S32" t="n">
        <v>2</v>
      </c>
      <c r="T32" t="n">
        <v>2</v>
      </c>
      <c r="U32" t="n">
        <v>0</v>
      </c>
      <c r="V32" s="2" t="inlineStr">
        <is>
          <t>Blomkålssvamp
Mattlummer</t>
        </is>
      </c>
      <c r="W32">
        <f>HYPERLINK("https://klasma.github.io/Logging_0583/artfynd/A 2153-2026 artfynd.xlsx", "A 2153-2026")</f>
        <v/>
      </c>
      <c r="X32">
        <f>HYPERLINK("https://klasma.github.io/Logging_0583/kartor/A 2153-2026 karta.png", "A 2153-2026")</f>
        <v/>
      </c>
      <c r="Y32">
        <f>HYPERLINK("https://klasma.github.io/Logging_0583/kartor_geotiff/A 2153-2026 georefererad karta.tif", "A 2153-2026")</f>
        <v/>
      </c>
      <c r="AA32">
        <f>HYPERLINK("https://klasma.github.io/Logging_0583/klagomål/A 2153-2026 FSC-klagomål.docx", "A 2153-2026")</f>
        <v/>
      </c>
      <c r="AB32">
        <f>HYPERLINK("https://klasma.github.io/Logging_0583/klagomålsmail/A 2153-2026 FSC-klagomål mail.docx", "A 2153-2026")</f>
        <v/>
      </c>
      <c r="AC32">
        <f>HYPERLINK("https://klasma.github.io/Logging_0583/tillsyn/A 2153-2026 tillsynsbegäran.docx", "A 2153-2026")</f>
        <v/>
      </c>
      <c r="AD32">
        <f>HYPERLINK("https://klasma.github.io/Logging_0583/tillsynsmail/A 2153-2026 tillsynsbegäran mail.docx", "A 2153-2026")</f>
        <v/>
      </c>
    </row>
    <row r="33" ht="15" customHeight="1">
      <c r="A33" t="inlineStr">
        <is>
          <t>A 48392-2024</t>
        </is>
      </c>
      <c r="B33" t="inlineStr">
        <is>
          <t>avverkningsanmälan</t>
        </is>
      </c>
      <c r="C33" t="inlineStr">
        <is>
          <t>Föryngringsavverkning</t>
        </is>
      </c>
      <c r="D33" s="1" t="n">
        <v>45590</v>
      </c>
      <c r="E33" s="1" t="n">
        <v>46314</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27887-2026</t>
        </is>
      </c>
      <c r="B34" t="inlineStr">
        <is>
          <t>avverkningsanmälan</t>
        </is>
      </c>
      <c r="C34" t="inlineStr">
        <is>
          <t>Föryngringsavverkning</t>
        </is>
      </c>
      <c r="D34" s="1" t="n">
        <v>46191</v>
      </c>
      <c r="E34" s="1" t="n">
        <v>46314</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A 30955-2023</t>
        </is>
      </c>
      <c r="B35" t="inlineStr">
        <is>
          <t>avverkningsanmälan</t>
        </is>
      </c>
      <c r="C35" t="inlineStr">
        <is>
          <t>Föryngringsavverkning</t>
        </is>
      </c>
      <c r="D35" s="1" t="n">
        <v>45103</v>
      </c>
      <c r="E35" s="1" t="n">
        <v>46314</v>
      </c>
      <c r="F35" t="inlineStr">
        <is>
          <t>ÖSTERGÖTLANDS LÄN</t>
        </is>
      </c>
      <c r="G35" t="inlineStr">
        <is>
          <t>MOTALA</t>
        </is>
      </c>
      <c r="H35" t="inlineStr">
        <is>
          <t>Övriga statliga verk och myndigheter</t>
        </is>
      </c>
      <c r="I35" t="n">
        <v>7.5</v>
      </c>
      <c r="J35" t="n">
        <v>2</v>
      </c>
      <c r="K35" t="n">
        <v>0</v>
      </c>
      <c r="L35" t="n">
        <v>1</v>
      </c>
      <c r="M35" t="n">
        <v>0</v>
      </c>
      <c r="N35" t="n">
        <v>0</v>
      </c>
      <c r="O35" t="n">
        <v>0</v>
      </c>
      <c r="P35" t="n">
        <v>0</v>
      </c>
      <c r="Q35" t="n">
        <v>1</v>
      </c>
      <c r="R35" t="n">
        <v>0</v>
      </c>
      <c r="S35" t="n">
        <v>2</v>
      </c>
      <c r="T35" t="n">
        <v>3</v>
      </c>
      <c r="U35" t="n">
        <v>3</v>
      </c>
      <c r="V35" s="2" t="inlineStr">
        <is>
          <t>Sparvuggla
Tjäder</t>
        </is>
      </c>
      <c r="W35">
        <f>HYPERLINK("https://klasma.github.io/Logging_0583/artfynd/A 30955-2023 artfynd.xlsx", "A 30955-2023")</f>
        <v/>
      </c>
      <c r="X35">
        <f>HYPERLINK("https://klasma.github.io/Logging_0583/kartor/A 30955-2023 karta.png", "A 30955-2023")</f>
        <v/>
      </c>
      <c r="Y35">
        <f>HYPERLINK("https://klasma.github.io/Logging_0583/kartor_geotiff/A 30955-2023 georefererad karta.tif", "A 30955-2023")</f>
        <v/>
      </c>
      <c r="AA35">
        <f>HYPERLINK("https://klasma.github.io/Logging_0583/klagomål/A 30955-2023 FSC-klagomål.docx", "A 30955-2023")</f>
        <v/>
      </c>
      <c r="AB35">
        <f>HYPERLINK("https://klasma.github.io/Logging_0583/klagomålsmail/A 30955-2023 FSC-klagomål mail.docx", "A 30955-2023")</f>
        <v/>
      </c>
      <c r="AC35">
        <f>HYPERLINK("https://klasma.github.io/Logging_0583/tillsyn/A 30955-2023 tillsynsbegäran.docx", "A 30955-2023")</f>
        <v/>
      </c>
      <c r="AD35">
        <f>HYPERLINK("https://klasma.github.io/Logging_0583/tillsynsmail/A 30955-2023 tillsynsbegäran mail.docx", "A 30955-2023")</f>
        <v/>
      </c>
      <c r="AE35">
        <f>HYPERLINK("https://klasma.github.io/Logging_0583/fåglar/A 30955-2023 prioriterade fågelarter.docx", "A 30955-2023")</f>
        <v/>
      </c>
    </row>
    <row r="36" ht="15" customHeight="1">
      <c r="A36" t="inlineStr">
        <is>
          <t>S 247-2025</t>
        </is>
      </c>
      <c r="B36" t="inlineStr">
        <is>
          <t>samrådsanmälan</t>
        </is>
      </c>
      <c r="C36" t="inlineStr">
        <is>
          <t>Annan skogsbruksåtgärd</t>
        </is>
      </c>
      <c r="D36" s="1" t="n">
        <v>45684</v>
      </c>
      <c r="E36" s="1" t="n">
        <v>46314</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46314</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46314</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46314</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21991-2023</t>
        </is>
      </c>
      <c r="B40" t="inlineStr">
        <is>
          <t>avverkningsanmälan</t>
        </is>
      </c>
      <c r="C40" t="inlineStr">
        <is>
          <t>Föryngringsavverkning</t>
        </is>
      </c>
      <c r="D40" s="1" t="n">
        <v>45068</v>
      </c>
      <c r="E40" s="1" t="n">
        <v>46314</v>
      </c>
      <c r="F40" t="inlineStr">
        <is>
          <t>ÖSTERGÖTLANDS LÄN</t>
        </is>
      </c>
      <c r="G40" t="inlineStr">
        <is>
          <t>MOTALA</t>
        </is>
      </c>
      <c r="I40" t="n">
        <v>1</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HYPERLINK("https://klasma.github.io/Logging_0583/artfynd/A 21991-2023 artfynd.xlsx", "A 21991-2023")</f>
        <v/>
      </c>
      <c r="X40">
        <f>HYPERLINK("https://klasma.github.io/Logging_0583/kartor/A 21991-2023 karta.png", "A 21991-2023")</f>
        <v/>
      </c>
      <c r="Y40">
        <f>HYPERLINK("https://klasma.github.io/Logging_0583/kartor_geotiff/A 21991-2023 georefererad karta.tif", "A 21991-2023")</f>
        <v/>
      </c>
      <c r="AA40">
        <f>HYPERLINK("https://klasma.github.io/Logging_0583/klagomål/A 21991-2023 FSC-klagomål.docx", "A 21991-2023")</f>
        <v/>
      </c>
      <c r="AB40">
        <f>HYPERLINK("https://klasma.github.io/Logging_0583/klagomålsmail/A 21991-2023 FSC-klagomål mail.docx", "A 21991-2023")</f>
        <v/>
      </c>
      <c r="AC40">
        <f>HYPERLINK("https://klasma.github.io/Logging_0583/tillsyn/A 21991-2023 tillsynsbegäran.docx", "A 21991-2023")</f>
        <v/>
      </c>
      <c r="AD40">
        <f>HYPERLINK("https://klasma.github.io/Logging_0583/tillsynsmail/A 21991-2023 tillsynsbegäran mail.docx", "A 21991-2023")</f>
        <v/>
      </c>
    </row>
    <row r="41" ht="15" customHeight="1">
      <c r="A41" t="inlineStr">
        <is>
          <t>A 24554-2025</t>
        </is>
      </c>
      <c r="B41" t="inlineStr">
        <is>
          <t>avverkningsanmälan</t>
        </is>
      </c>
      <c r="C41" t="inlineStr">
        <is>
          <t>Föryngringsavverkning</t>
        </is>
      </c>
      <c r="D41" s="1" t="n">
        <v>45798</v>
      </c>
      <c r="E41" s="1" t="n">
        <v>46314</v>
      </c>
      <c r="F41" t="inlineStr">
        <is>
          <t>ÖSTERGÖTLANDS LÄN</t>
        </is>
      </c>
      <c r="G41" t="inlineStr">
        <is>
          <t>MOTALA</t>
        </is>
      </c>
      <c r="I41" t="n">
        <v>2.1</v>
      </c>
      <c r="J41" t="n">
        <v>1</v>
      </c>
      <c r="K41" t="n">
        <v>0</v>
      </c>
      <c r="L41" t="n">
        <v>0</v>
      </c>
      <c r="M41" t="n">
        <v>0</v>
      </c>
      <c r="N41" t="n">
        <v>0</v>
      </c>
      <c r="O41" t="n">
        <v>0</v>
      </c>
      <c r="P41" t="n">
        <v>0</v>
      </c>
      <c r="Q41" t="n">
        <v>0</v>
      </c>
      <c r="R41" t="n">
        <v>0</v>
      </c>
      <c r="S41" t="n">
        <v>1</v>
      </c>
      <c r="T41" t="n">
        <v>1</v>
      </c>
      <c r="U41" t="n">
        <v>0</v>
      </c>
      <c r="V41" s="2" t="inlineStr">
        <is>
          <t>Grönvit nattviol</t>
        </is>
      </c>
      <c r="W41">
        <f>HYPERLINK("https://klasma.github.io/Logging_0583/artfynd/A 24554-2025 artfynd.xlsx", "A 24554-2025")</f>
        <v/>
      </c>
      <c r="X41">
        <f>HYPERLINK("https://klasma.github.io/Logging_0583/kartor/A 24554-2025 karta.png", "A 24554-2025")</f>
        <v/>
      </c>
      <c r="Y41">
        <f>HYPERLINK("https://klasma.github.io/Logging_0583/kartor_geotiff/A 24554-2025 georefererad karta.tif", "A 24554-2025")</f>
        <v/>
      </c>
      <c r="AA41">
        <f>HYPERLINK("https://klasma.github.io/Logging_0583/klagomål/A 24554-2025 FSC-klagomål.docx", "A 24554-2025")</f>
        <v/>
      </c>
      <c r="AB41">
        <f>HYPERLINK("https://klasma.github.io/Logging_0583/klagomålsmail/A 24554-2025 FSC-klagomål mail.docx", "A 24554-2025")</f>
        <v/>
      </c>
      <c r="AC41">
        <f>HYPERLINK("https://klasma.github.io/Logging_0583/tillsyn/A 24554-2025 tillsynsbegäran.docx", "A 24554-2025")</f>
        <v/>
      </c>
      <c r="AD41">
        <f>HYPERLINK("https://klasma.github.io/Logging_0583/tillsynsmail/A 24554-2025 tillsynsbegäran mail.docx", "A 24554-2025")</f>
        <v/>
      </c>
    </row>
    <row r="42" ht="15" customHeight="1">
      <c r="A42" t="inlineStr">
        <is>
          <t>A 47332-2025</t>
        </is>
      </c>
      <c r="B42" t="inlineStr">
        <is>
          <t>avverkningsanmälan</t>
        </is>
      </c>
      <c r="C42" t="inlineStr">
        <is>
          <t>Föryngringsavverkning</t>
        </is>
      </c>
      <c r="D42" s="1" t="n">
        <v>45930</v>
      </c>
      <c r="E42" s="1" t="n">
        <v>46314</v>
      </c>
      <c r="F42" t="inlineStr">
        <is>
          <t>ÖSTERGÖTLANDS LÄN</t>
        </is>
      </c>
      <c r="G42" t="inlineStr">
        <is>
          <t>MOTALA</t>
        </is>
      </c>
      <c r="I42" t="n">
        <v>1.9</v>
      </c>
      <c r="J42" t="n">
        <v>0</v>
      </c>
      <c r="K42" t="n">
        <v>0</v>
      </c>
      <c r="L42" t="n">
        <v>0</v>
      </c>
      <c r="M42" t="n">
        <v>0</v>
      </c>
      <c r="N42" t="n">
        <v>1</v>
      </c>
      <c r="O42" t="n">
        <v>0</v>
      </c>
      <c r="P42" t="n">
        <v>0</v>
      </c>
      <c r="Q42" t="n">
        <v>1</v>
      </c>
      <c r="R42" t="n">
        <v>1</v>
      </c>
      <c r="S42" t="n">
        <v>1</v>
      </c>
      <c r="T42" t="n">
        <v>1</v>
      </c>
      <c r="U42" t="n">
        <v>0</v>
      </c>
      <c r="V42" s="2" t="inlineStr">
        <is>
          <t>Skogsalm</t>
        </is>
      </c>
      <c r="W42">
        <f>HYPERLINK("https://klasma.github.io/Logging_0583/artfynd/A 47332-2025 artfynd.xlsx", "A 47332-2025")</f>
        <v/>
      </c>
      <c r="X42">
        <f>HYPERLINK("https://klasma.github.io/Logging_0583/kartor/A 47332-2025 karta.png", "A 47332-2025")</f>
        <v/>
      </c>
      <c r="Y42">
        <f>HYPERLINK("https://klasma.github.io/Logging_0583/kartor_geotiff/A 47332-2025 georefererad karta.tif", "A 47332-2025")</f>
        <v/>
      </c>
      <c r="AA42">
        <f>HYPERLINK("https://klasma.github.io/Logging_0583/klagomål/A 47332-2025 FSC-klagomål.docx", "A 47332-2025")</f>
        <v/>
      </c>
      <c r="AB42">
        <f>HYPERLINK("https://klasma.github.io/Logging_0583/klagomålsmail/A 47332-2025 FSC-klagomål mail.docx", "A 47332-2025")</f>
        <v/>
      </c>
      <c r="AC42">
        <f>HYPERLINK("https://klasma.github.io/Logging_0583/tillsyn/A 47332-2025 tillsynsbegäran.docx", "A 47332-2025")</f>
        <v/>
      </c>
      <c r="AD42">
        <f>HYPERLINK("https://klasma.github.io/Logging_0583/tillsynsmail/A 47332-2025 tillsynsbegäran mail.docx", "A 47332-2025")</f>
        <v/>
      </c>
    </row>
    <row r="43" ht="15" customHeight="1">
      <c r="A43" t="inlineStr">
        <is>
          <t>A 2194-2023</t>
        </is>
      </c>
      <c r="B43" t="inlineStr">
        <is>
          <t>avverkningsanmälan</t>
        </is>
      </c>
      <c r="C43" t="inlineStr">
        <is>
          <t>Föryngringsavverkning</t>
        </is>
      </c>
      <c r="D43" s="1" t="n">
        <v>44942</v>
      </c>
      <c r="E43" s="1" t="n">
        <v>46314</v>
      </c>
      <c r="F43" t="inlineStr">
        <is>
          <t>ÖSTERGÖTLANDS LÄN</t>
        </is>
      </c>
      <c r="G43" t="inlineStr">
        <is>
          <t>MOTALA</t>
        </is>
      </c>
      <c r="I43" t="n">
        <v>3.9</v>
      </c>
      <c r="J43" t="n">
        <v>1</v>
      </c>
      <c r="K43" t="n">
        <v>0</v>
      </c>
      <c r="L43" t="n">
        <v>0</v>
      </c>
      <c r="M43" t="n">
        <v>0</v>
      </c>
      <c r="N43" t="n">
        <v>0</v>
      </c>
      <c r="O43" t="n">
        <v>0</v>
      </c>
      <c r="P43" t="n">
        <v>0</v>
      </c>
      <c r="Q43" t="n">
        <v>0</v>
      </c>
      <c r="R43" t="n">
        <v>0</v>
      </c>
      <c r="S43" t="n">
        <v>1</v>
      </c>
      <c r="T43" t="n">
        <v>1</v>
      </c>
      <c r="U43" t="n">
        <v>1</v>
      </c>
      <c r="V43" s="2" t="inlineStr">
        <is>
          <t>Fiskgjuse</t>
        </is>
      </c>
      <c r="W43">
        <f>HYPERLINK("https://klasma.github.io/Logging_0583/artfynd/A 2194-2023 artfynd.xlsx", "A 2194-2023")</f>
        <v/>
      </c>
      <c r="X43">
        <f>HYPERLINK("https://klasma.github.io/Logging_0583/kartor/A 2194-2023 karta.png", "A 2194-2023")</f>
        <v/>
      </c>
      <c r="Y43">
        <f>HYPERLINK("https://klasma.github.io/Logging_0583/kartor_geotiff/A 2194-2023 georefererad karta.tif", "A 2194-2023")</f>
        <v/>
      </c>
      <c r="AA43">
        <f>HYPERLINK("https://klasma.github.io/Logging_0583/klagomål/A 2194-2023 FSC-klagomål.docx", "A 2194-2023")</f>
        <v/>
      </c>
      <c r="AB43">
        <f>HYPERLINK("https://klasma.github.io/Logging_0583/klagomålsmail/A 2194-2023 FSC-klagomål mail.docx", "A 2194-2023")</f>
        <v/>
      </c>
      <c r="AC43">
        <f>HYPERLINK("https://klasma.github.io/Logging_0583/tillsyn/A 2194-2023 tillsynsbegäran.docx", "A 2194-2023")</f>
        <v/>
      </c>
      <c r="AD43">
        <f>HYPERLINK("https://klasma.github.io/Logging_0583/tillsynsmail/A 2194-2023 tillsynsbegäran mail.docx", "A 2194-2023")</f>
        <v/>
      </c>
      <c r="AE43">
        <f>HYPERLINK("https://klasma.github.io/Logging_0583/fåglar/A 2194-2023 prioriterade fågelarter.docx", "A 2194-2023")</f>
        <v/>
      </c>
    </row>
    <row r="44" ht="15" customHeight="1">
      <c r="A44" t="inlineStr">
        <is>
          <t>A 27907-2026</t>
        </is>
      </c>
      <c r="B44" t="inlineStr">
        <is>
          <t>avverkningsanmälan</t>
        </is>
      </c>
      <c r="C44" t="inlineStr">
        <is>
          <t>Föryngringsavverkning</t>
        </is>
      </c>
      <c r="D44" s="1" t="n">
        <v>46191</v>
      </c>
      <c r="E44" s="1" t="n">
        <v>46314</v>
      </c>
      <c r="F44" t="inlineStr">
        <is>
          <t>ÖSTERGÖTLANDS LÄN</t>
        </is>
      </c>
      <c r="G44" t="inlineStr">
        <is>
          <t>MOTALA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Orre</t>
        </is>
      </c>
      <c r="W44">
        <f>HYPERLINK("https://klasma.github.io/Logging_0583/artfynd/A 27907-2026 artfynd.xlsx", "A 27907-2026")</f>
        <v/>
      </c>
      <c r="X44">
        <f>HYPERLINK("https://klasma.github.io/Logging_0583/kartor/A 27907-2026 karta.png", "A 27907-2026")</f>
        <v/>
      </c>
      <c r="Y44">
        <f>HYPERLINK("https://klasma.github.io/Logging_0583/kartor_geotiff/A 27907-2026 georefererad karta.tif", "A 27907-2026")</f>
        <v/>
      </c>
      <c r="AA44">
        <f>HYPERLINK("https://klasma.github.io/Logging_0583/klagomål/A 27907-2026 FSC-klagomål.docx", "A 27907-2026")</f>
        <v/>
      </c>
      <c r="AB44">
        <f>HYPERLINK("https://klasma.github.io/Logging_0583/klagomålsmail/A 27907-2026 FSC-klagomål mail.docx", "A 27907-2026")</f>
        <v/>
      </c>
      <c r="AC44">
        <f>HYPERLINK("https://klasma.github.io/Logging_0583/tillsyn/A 27907-2026 tillsynsbegäran.docx", "A 27907-2026")</f>
        <v/>
      </c>
      <c r="AD44">
        <f>HYPERLINK("https://klasma.github.io/Logging_0583/tillsynsmail/A 27907-2026 tillsynsbegäran mail.docx", "A 27907-2026")</f>
        <v/>
      </c>
      <c r="AE44">
        <f>HYPERLINK("https://klasma.github.io/Logging_0583/fåglar/A 27907-2026 prioriterade fågelarter.docx", "A 27907-2026")</f>
        <v/>
      </c>
    </row>
    <row r="45" ht="15" customHeight="1">
      <c r="A45" t="inlineStr">
        <is>
          <t>A 18729-2025</t>
        </is>
      </c>
      <c r="B45" t="inlineStr">
        <is>
          <t>avverkningsanmälan</t>
        </is>
      </c>
      <c r="C45" t="inlineStr">
        <is>
          <t>Avverkning för att bevara och utveckla /försöksver</t>
        </is>
      </c>
      <c r="D45" s="1" t="n">
        <v>45763</v>
      </c>
      <c r="E45" s="1" t="n">
        <v>46314</v>
      </c>
      <c r="F45" t="inlineStr">
        <is>
          <t>ÖSTERGÖTLANDS LÄN</t>
        </is>
      </c>
      <c r="G45" t="inlineStr">
        <is>
          <t>MOTALA</t>
        </is>
      </c>
      <c r="H45" t="inlineStr">
        <is>
          <t>Sveaskog</t>
        </is>
      </c>
      <c r="I45" t="n">
        <v>1.9</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HYPERLINK("https://klasma.github.io/Logging_0583/artfynd/A 18729-2025 artfynd.xlsx", "A 18729-2025")</f>
        <v/>
      </c>
      <c r="X45">
        <f>HYPERLINK("https://klasma.github.io/Logging_0583/kartor/A 18729-2025 karta.png", "A 18729-2025")</f>
        <v/>
      </c>
      <c r="Y45">
        <f>HYPERLINK("https://klasma.github.io/Logging_0583/kartor_geotiff/A 18729-2025 georefererad karta.tif", "A 18729-2025")</f>
        <v/>
      </c>
      <c r="AA45">
        <f>HYPERLINK("https://klasma.github.io/Logging_0583/klagomål/A 18729-2025 FSC-klagomål.docx", "A 18729-2025")</f>
        <v/>
      </c>
      <c r="AB45">
        <f>HYPERLINK("https://klasma.github.io/Logging_0583/klagomålsmail/A 18729-2025 FSC-klagomål mail.docx", "A 18729-2025")</f>
        <v/>
      </c>
      <c r="AC45">
        <f>HYPERLINK("https://klasma.github.io/Logging_0583/tillsyn/A 18729-2025 tillsynsbegäran.docx", "A 18729-2025")</f>
        <v/>
      </c>
      <c r="AD45">
        <f>HYPERLINK("https://klasma.github.io/Logging_0583/tillsynsmail/A 18729-2025 tillsynsbegäran mail.docx", "A 18729-2025")</f>
        <v/>
      </c>
    </row>
    <row r="46" ht="15" customHeight="1">
      <c r="A46" t="inlineStr">
        <is>
          <t>A 17739-2026</t>
        </is>
      </c>
      <c r="B46" t="inlineStr">
        <is>
          <t>avverkningsanmälan</t>
        </is>
      </c>
      <c r="C46" t="inlineStr">
        <is>
          <t>Föryngringsavverkning</t>
        </is>
      </c>
      <c r="D46" s="1" t="n">
        <v>46122</v>
      </c>
      <c r="E46" s="1" t="n">
        <v>46314</v>
      </c>
      <c r="F46" t="inlineStr">
        <is>
          <t>ÖSTERGÖTLANDS LÄN</t>
        </is>
      </c>
      <c r="G46" t="inlineStr">
        <is>
          <t>MOTALA</t>
        </is>
      </c>
      <c r="H46" t="inlineStr">
        <is>
          <t>Sveaskog</t>
        </is>
      </c>
      <c r="I46" t="n">
        <v>2.2</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HYPERLINK("https://klasma.github.io/Logging_0583/artfynd/A 17739-2026 artfynd.xlsx", "A 17739-2026")</f>
        <v/>
      </c>
      <c r="X46">
        <f>HYPERLINK("https://klasma.github.io/Logging_0583/kartor/A 17739-2026 karta.png", "A 17739-2026")</f>
        <v/>
      </c>
      <c r="Y46">
        <f>HYPERLINK("https://klasma.github.io/Logging_0583/kartor_geotiff/A 17739-2026 georefererad karta.tif", "A 17739-2026")</f>
        <v/>
      </c>
      <c r="AA46">
        <f>HYPERLINK("https://klasma.github.io/Logging_0583/klagomål/A 17739-2026 FSC-klagomål.docx", "A 17739-2026")</f>
        <v/>
      </c>
      <c r="AB46">
        <f>HYPERLINK("https://klasma.github.io/Logging_0583/klagomålsmail/A 17739-2026 FSC-klagomål mail.docx", "A 17739-2026")</f>
        <v/>
      </c>
      <c r="AC46">
        <f>HYPERLINK("https://klasma.github.io/Logging_0583/tillsyn/A 17739-2026 tillsynsbegäran.docx", "A 17739-2026")</f>
        <v/>
      </c>
      <c r="AD46">
        <f>HYPERLINK("https://klasma.github.io/Logging_0583/tillsynsmail/A 17739-2026 tillsynsbegäran mail.docx", "A 17739-2026")</f>
        <v/>
      </c>
      <c r="AE46">
        <f>HYPERLINK("https://klasma.github.io/Logging_0583/fåglar/A 17739-2026 prioriterade fågelarter.docx", "A 17739-2026")</f>
        <v/>
      </c>
    </row>
    <row r="47" ht="15" customHeight="1">
      <c r="A47" t="inlineStr">
        <is>
          <t>A 17740-2026</t>
        </is>
      </c>
      <c r="B47" t="inlineStr">
        <is>
          <t>avverkningsanmälan</t>
        </is>
      </c>
      <c r="C47" t="inlineStr">
        <is>
          <t>Föryngringsavverkning</t>
        </is>
      </c>
      <c r="D47" s="1" t="n">
        <v>46122</v>
      </c>
      <c r="E47" s="1" t="n">
        <v>46314</v>
      </c>
      <c r="F47" t="inlineStr">
        <is>
          <t>ÖSTERGÖTLANDS LÄN</t>
        </is>
      </c>
      <c r="G47" t="inlineStr">
        <is>
          <t>MOTALA</t>
        </is>
      </c>
      <c r="H47" t="inlineStr">
        <is>
          <t>Sveaskog</t>
        </is>
      </c>
      <c r="I47" t="n">
        <v>0.6</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HYPERLINK("https://klasma.github.io/Logging_0583/artfynd/A 17740-2026 artfynd.xlsx", "A 17740-2026")</f>
        <v/>
      </c>
      <c r="X47">
        <f>HYPERLINK("https://klasma.github.io/Logging_0583/kartor/A 17740-2026 karta.png", "A 17740-2026")</f>
        <v/>
      </c>
      <c r="Y47">
        <f>HYPERLINK("https://klasma.github.io/Logging_0583/kartor_geotiff/A 17740-2026 georefererad karta.tif", "A 17740-2026")</f>
        <v/>
      </c>
      <c r="AA47">
        <f>HYPERLINK("https://klasma.github.io/Logging_0583/klagomål/A 17740-2026 FSC-klagomål.docx", "A 17740-2026")</f>
        <v/>
      </c>
      <c r="AB47">
        <f>HYPERLINK("https://klasma.github.io/Logging_0583/klagomålsmail/A 17740-2026 FSC-klagomål mail.docx", "A 17740-2026")</f>
        <v/>
      </c>
      <c r="AC47">
        <f>HYPERLINK("https://klasma.github.io/Logging_0583/tillsyn/A 17740-2026 tillsynsbegäran.docx", "A 17740-2026")</f>
        <v/>
      </c>
      <c r="AD47">
        <f>HYPERLINK("https://klasma.github.io/Logging_0583/tillsynsmail/A 17740-2026 tillsynsbegäran mail.docx", "A 17740-2026")</f>
        <v/>
      </c>
    </row>
    <row r="48" ht="15" customHeight="1">
      <c r="A48" t="inlineStr">
        <is>
          <t>A 52523-2022</t>
        </is>
      </c>
      <c r="B48" t="inlineStr">
        <is>
          <t>avverkningsanmälan</t>
        </is>
      </c>
      <c r="C48" t="inlineStr">
        <is>
          <t>Föryngringsavverkning</t>
        </is>
      </c>
      <c r="D48" s="1" t="n">
        <v>44874</v>
      </c>
      <c r="E48" s="1" t="n">
        <v>46314</v>
      </c>
      <c r="F48" t="inlineStr">
        <is>
          <t>ÖSTERGÖTLANDS LÄN</t>
        </is>
      </c>
      <c r="G48" t="inlineStr">
        <is>
          <t>MOTALA</t>
        </is>
      </c>
      <c r="H48" t="inlineStr">
        <is>
          <t>Kyrkan</t>
        </is>
      </c>
      <c r="I48" t="n">
        <v>6.7</v>
      </c>
      <c r="J48" t="n">
        <v>1</v>
      </c>
      <c r="K48" t="n">
        <v>0</v>
      </c>
      <c r="L48" t="n">
        <v>0</v>
      </c>
      <c r="M48" t="n">
        <v>0</v>
      </c>
      <c r="N48" t="n">
        <v>0</v>
      </c>
      <c r="O48" t="n">
        <v>0</v>
      </c>
      <c r="P48" t="n">
        <v>0</v>
      </c>
      <c r="Q48" t="n">
        <v>0</v>
      </c>
      <c r="R48" t="n">
        <v>0</v>
      </c>
      <c r="S48" t="n">
        <v>1</v>
      </c>
      <c r="T48" t="n">
        <v>4</v>
      </c>
      <c r="U48" t="n">
        <v>4</v>
      </c>
      <c r="V48" s="2" t="inlineStr">
        <is>
          <t>Fläcknycklar</t>
        </is>
      </c>
      <c r="W48">
        <f>HYPERLINK("https://klasma.github.io/Logging_0583/artfynd/A 52523-2022 artfynd.xlsx", "A 52523-2022")</f>
        <v/>
      </c>
      <c r="X48">
        <f>HYPERLINK("https://klasma.github.io/Logging_0583/kartor/A 52523-2022 karta.png", "A 52523-2022")</f>
        <v/>
      </c>
      <c r="Y48">
        <f>HYPERLINK("https://klasma.github.io/Logging_0583/kartor_geotiff/A 52523-2022 georefererad karta.tif", "A 52523-2022")</f>
        <v/>
      </c>
      <c r="AA48">
        <f>HYPERLINK("https://klasma.github.io/Logging_0583/klagomål/A 52523-2022 FSC-klagomål.docx", "A 52523-2022")</f>
        <v/>
      </c>
      <c r="AB48">
        <f>HYPERLINK("https://klasma.github.io/Logging_0583/klagomålsmail/A 52523-2022 FSC-klagomål mail.docx", "A 52523-2022")</f>
        <v/>
      </c>
      <c r="AC48">
        <f>HYPERLINK("https://klasma.github.io/Logging_0583/tillsyn/A 52523-2022 tillsynsbegäran.docx", "A 52523-2022")</f>
        <v/>
      </c>
      <c r="AD48">
        <f>HYPERLINK("https://klasma.github.io/Logging_0583/tillsynsmail/A 52523-2022 tillsynsbegäran mail.docx", "A 52523-2022")</f>
        <v/>
      </c>
    </row>
    <row r="49" ht="15" customHeight="1">
      <c r="A49" t="inlineStr">
        <is>
          <t>A 44814-2025</t>
        </is>
      </c>
      <c r="B49" t="inlineStr">
        <is>
          <t>avverkningsanmälan</t>
        </is>
      </c>
      <c r="C49" t="inlineStr">
        <is>
          <t>Föryngringsavverkning</t>
        </is>
      </c>
      <c r="D49" s="1" t="n">
        <v>45918</v>
      </c>
      <c r="E49" s="1" t="n">
        <v>46314</v>
      </c>
      <c r="F49" t="inlineStr">
        <is>
          <t>ÖSTERGÖTLANDS LÄN</t>
        </is>
      </c>
      <c r="G49" t="inlineStr">
        <is>
          <t>MOTALA</t>
        </is>
      </c>
      <c r="I49" t="n">
        <v>5.9</v>
      </c>
      <c r="J49" t="n">
        <v>0</v>
      </c>
      <c r="K49" t="n">
        <v>0</v>
      </c>
      <c r="L49" t="n">
        <v>1</v>
      </c>
      <c r="M49" t="n">
        <v>0</v>
      </c>
      <c r="N49" t="n">
        <v>0</v>
      </c>
      <c r="O49" t="n">
        <v>0</v>
      </c>
      <c r="P49" t="n">
        <v>0</v>
      </c>
      <c r="Q49" t="n">
        <v>1</v>
      </c>
      <c r="R49" t="n">
        <v>0</v>
      </c>
      <c r="S49" t="n">
        <v>1</v>
      </c>
      <c r="T49" t="n">
        <v>1</v>
      </c>
      <c r="U49" t="n">
        <v>0</v>
      </c>
      <c r="V49" s="2" t="inlineStr">
        <is>
          <t>Gullklöver</t>
        </is>
      </c>
      <c r="W49">
        <f>HYPERLINK("https://klasma.github.io/Logging_0583/artfynd/A 44814-2025 artfynd.xlsx", "A 44814-2025")</f>
        <v/>
      </c>
      <c r="X49">
        <f>HYPERLINK("https://klasma.github.io/Logging_0583/kartor/A 44814-2025 karta.png", "A 44814-2025")</f>
        <v/>
      </c>
      <c r="Y49">
        <f>HYPERLINK("https://klasma.github.io/Logging_0583/kartor_geotiff/A 44814-2025 georefererad karta.tif", "A 44814-2025")</f>
        <v/>
      </c>
      <c r="AA49">
        <f>HYPERLINK("https://klasma.github.io/Logging_0583/klagomål/A 44814-2025 FSC-klagomål.docx", "A 44814-2025")</f>
        <v/>
      </c>
      <c r="AB49">
        <f>HYPERLINK("https://klasma.github.io/Logging_0583/klagomålsmail/A 44814-2025 FSC-klagomål mail.docx", "A 44814-2025")</f>
        <v/>
      </c>
      <c r="AC49">
        <f>HYPERLINK("https://klasma.github.io/Logging_0583/tillsyn/A 44814-2025 tillsynsbegäran.docx", "A 44814-2025")</f>
        <v/>
      </c>
      <c r="AD49">
        <f>HYPERLINK("https://klasma.github.io/Logging_0583/tillsynsmail/A 44814-2025 tillsynsbegäran mail.docx", "A 44814-2025")</f>
        <v/>
      </c>
    </row>
    <row r="50" ht="15" customHeight="1">
      <c r="A50" t="inlineStr">
        <is>
          <t>A 12609-2025</t>
        </is>
      </c>
      <c r="B50" t="inlineStr">
        <is>
          <t>avverkningsanmälan</t>
        </is>
      </c>
      <c r="C50" t="inlineStr">
        <is>
          <t>Föryngringsavverkning</t>
        </is>
      </c>
      <c r="D50" s="1" t="n">
        <v>45733</v>
      </c>
      <c r="E50" s="1" t="n">
        <v>46314</v>
      </c>
      <c r="F50" t="inlineStr">
        <is>
          <t>ÖSTERGÖTLANDS LÄN</t>
        </is>
      </c>
      <c r="G50" t="inlineStr">
        <is>
          <t>MOTALA</t>
        </is>
      </c>
      <c r="I50" t="n">
        <v>2.9</v>
      </c>
      <c r="J50" t="n">
        <v>0</v>
      </c>
      <c r="K50" t="n">
        <v>1</v>
      </c>
      <c r="L50" t="n">
        <v>0</v>
      </c>
      <c r="M50" t="n">
        <v>0</v>
      </c>
      <c r="N50" t="n">
        <v>0</v>
      </c>
      <c r="O50" t="n">
        <v>0</v>
      </c>
      <c r="P50" t="n">
        <v>0</v>
      </c>
      <c r="Q50" t="n">
        <v>0</v>
      </c>
      <c r="R50" t="n">
        <v>0</v>
      </c>
      <c r="S50" t="n">
        <v>1</v>
      </c>
      <c r="T50" t="n">
        <v>1</v>
      </c>
      <c r="U50" t="n">
        <v>1</v>
      </c>
      <c r="V50" s="2" t="inlineStr">
        <is>
          <t>Stubbspretmossa</t>
        </is>
      </c>
      <c r="W50">
        <f>HYPERLINK("https://klasma.github.io/Logging_0583/artfynd/A 12609-2025 artfynd.xlsx", "A 12609-2025")</f>
        <v/>
      </c>
      <c r="X50">
        <f>HYPERLINK("https://klasma.github.io/Logging_0583/kartor/A 12609-2025 karta.png", "A 12609-2025")</f>
        <v/>
      </c>
      <c r="Y50">
        <f>HYPERLINK("https://klasma.github.io/Logging_0583/kartor_geotiff/A 12609-2025 georefererad karta.tif", "A 12609-2025")</f>
        <v/>
      </c>
      <c r="AA50">
        <f>HYPERLINK("https://klasma.github.io/Logging_0583/klagomål/A 12609-2025 FSC-klagomål.docx", "A 12609-2025")</f>
        <v/>
      </c>
      <c r="AB50">
        <f>HYPERLINK("https://klasma.github.io/Logging_0583/klagomålsmail/A 12609-2025 FSC-klagomål mail.docx", "A 12609-2025")</f>
        <v/>
      </c>
      <c r="AC50">
        <f>HYPERLINK("https://klasma.github.io/Logging_0583/tillsyn/A 12609-2025 tillsynsbegäran.docx", "A 12609-2025")</f>
        <v/>
      </c>
      <c r="AD50">
        <f>HYPERLINK("https://klasma.github.io/Logging_0583/tillsynsmail/A 12609-2025 tillsynsbegäran mail.docx", "A 12609-2025")</f>
        <v/>
      </c>
    </row>
    <row r="51" ht="15" customHeight="1">
      <c r="A51" t="inlineStr">
        <is>
          <t>A 50749-2024</t>
        </is>
      </c>
      <c r="B51" t="inlineStr">
        <is>
          <t>avverkningsanmälan</t>
        </is>
      </c>
      <c r="C51" t="inlineStr">
        <is>
          <t>Föryngringsavverkning</t>
        </is>
      </c>
      <c r="D51" s="1" t="n">
        <v>45602</v>
      </c>
      <c r="E51" s="1" t="n">
        <v>46314</v>
      </c>
      <c r="F51" t="inlineStr">
        <is>
          <t>ÖSTERGÖTLANDS LÄN</t>
        </is>
      </c>
      <c r="G51" t="inlineStr">
        <is>
          <t>MOTALA</t>
        </is>
      </c>
      <c r="I51" t="n">
        <v>1.6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50749-2024 artfynd.xlsx", "A 50749-2024")</f>
        <v/>
      </c>
      <c r="X51">
        <f>HYPERLINK("https://klasma.github.io/Logging_0583/kartor/A 50749-2024 karta.png", "A 50749-2024")</f>
        <v/>
      </c>
      <c r="Y51">
        <f>HYPERLINK("https://klasma.github.io/Logging_0583/kartor_geotiff/A 50749-2024 georefererad karta.tif", "A 50749-2024")</f>
        <v/>
      </c>
      <c r="AA51">
        <f>HYPERLINK("https://klasma.github.io/Logging_0583/klagomål/A 50749-2024 FSC-klagomål.docx", "A 50749-2024")</f>
        <v/>
      </c>
      <c r="AB51">
        <f>HYPERLINK("https://klasma.github.io/Logging_0583/klagomålsmail/A 50749-2024 FSC-klagomål mail.docx", "A 50749-2024")</f>
        <v/>
      </c>
      <c r="AC51">
        <f>HYPERLINK("https://klasma.github.io/Logging_0583/tillsyn/A 50749-2024 tillsynsbegäran.docx", "A 50749-2024")</f>
        <v/>
      </c>
      <c r="AD51">
        <f>HYPERLINK("https://klasma.github.io/Logging_0583/tillsynsmail/A 50749-2024 tillsynsbegäran mail.docx", "A 50749-2024")</f>
        <v/>
      </c>
    </row>
    <row r="52" ht="15" customHeight="1">
      <c r="A52" t="inlineStr">
        <is>
          <t>A 24686-2024</t>
        </is>
      </c>
      <c r="B52" t="inlineStr">
        <is>
          <t>avverkningsanmälan</t>
        </is>
      </c>
      <c r="C52" t="inlineStr">
        <is>
          <t>Föryngringsavverkning</t>
        </is>
      </c>
      <c r="D52" s="1" t="n">
        <v>45460</v>
      </c>
      <c r="E52" s="1" t="n">
        <v>46314</v>
      </c>
      <c r="F52" t="inlineStr">
        <is>
          <t>ÖSTERGÖTLANDS LÄN</t>
        </is>
      </c>
      <c r="G52" t="inlineStr">
        <is>
          <t>MOTALA</t>
        </is>
      </c>
      <c r="I52" t="n">
        <v>1.8</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HYPERLINK("https://klasma.github.io/Logging_0583/artfynd/A 24686-2024 artfynd.xlsx", "A 24686-2024")</f>
        <v/>
      </c>
      <c r="X52">
        <f>HYPERLINK("https://klasma.github.io/Logging_0583/kartor/A 24686-2024 karta.png", "A 24686-2024")</f>
        <v/>
      </c>
      <c r="Y52">
        <f>HYPERLINK("https://klasma.github.io/Logging_0583/kartor_geotiff/A 24686-2024 georefererad karta.tif", "A 24686-2024")</f>
        <v/>
      </c>
      <c r="AA52">
        <f>HYPERLINK("https://klasma.github.io/Logging_0583/klagomål/A 24686-2024 FSC-klagomål.docx", "A 24686-2024")</f>
        <v/>
      </c>
      <c r="AB52">
        <f>HYPERLINK("https://klasma.github.io/Logging_0583/klagomålsmail/A 24686-2024 FSC-klagomål mail.docx", "A 24686-2024")</f>
        <v/>
      </c>
      <c r="AC52">
        <f>HYPERLINK("https://klasma.github.io/Logging_0583/tillsyn/A 24686-2024 tillsynsbegäran.docx", "A 24686-2024")</f>
        <v/>
      </c>
      <c r="AD52">
        <f>HYPERLINK("https://klasma.github.io/Logging_0583/tillsynsmail/A 24686-2024 tillsynsbegäran mail.docx", "A 24686-2024")</f>
        <v/>
      </c>
    </row>
    <row r="53" ht="15" customHeight="1">
      <c r="A53" t="inlineStr">
        <is>
          <t>A 13690-2024</t>
        </is>
      </c>
      <c r="B53" t="inlineStr">
        <is>
          <t>avverkningsanmälan</t>
        </is>
      </c>
      <c r="C53" t="inlineStr">
        <is>
          <t>Föryngringsavverkning</t>
        </is>
      </c>
      <c r="D53" s="1" t="n">
        <v>45390</v>
      </c>
      <c r="E53" s="1" t="n">
        <v>46314</v>
      </c>
      <c r="F53" t="inlineStr">
        <is>
          <t>ÖSTERGÖTLANDS LÄN</t>
        </is>
      </c>
      <c r="G53" t="inlineStr">
        <is>
          <t>MOTALA</t>
        </is>
      </c>
      <c r="I53" t="n">
        <v>2.8</v>
      </c>
      <c r="J53" t="n">
        <v>0</v>
      </c>
      <c r="K53" t="n">
        <v>1</v>
      </c>
      <c r="L53" t="n">
        <v>0</v>
      </c>
      <c r="M53" t="n">
        <v>0</v>
      </c>
      <c r="N53" t="n">
        <v>0</v>
      </c>
      <c r="O53" t="n">
        <v>0</v>
      </c>
      <c r="P53" t="n">
        <v>0</v>
      </c>
      <c r="Q53" t="n">
        <v>0</v>
      </c>
      <c r="R53" t="n">
        <v>0</v>
      </c>
      <c r="S53" t="n">
        <v>1</v>
      </c>
      <c r="T53" t="n">
        <v>1</v>
      </c>
      <c r="U53" t="n">
        <v>1</v>
      </c>
      <c r="V53" s="2" t="inlineStr">
        <is>
          <t>Tibast</t>
        </is>
      </c>
      <c r="W53">
        <f>HYPERLINK("https://klasma.github.io/Logging_0583/artfynd/A 13690-2024 artfynd.xlsx", "A 13690-2024")</f>
        <v/>
      </c>
      <c r="X53">
        <f>HYPERLINK("https://klasma.github.io/Logging_0583/kartor/A 13690-2024 karta.png", "A 13690-2024")</f>
        <v/>
      </c>
      <c r="Y53">
        <f>HYPERLINK("https://klasma.github.io/Logging_0583/kartor_geotiff/A 13690-2024 georefererad karta.tif", "A 13690-2024")</f>
        <v/>
      </c>
      <c r="AA53">
        <f>HYPERLINK("https://klasma.github.io/Logging_0583/klagomål/A 13690-2024 FSC-klagomål.docx", "A 13690-2024")</f>
        <v/>
      </c>
      <c r="AB53">
        <f>HYPERLINK("https://klasma.github.io/Logging_0583/klagomålsmail/A 13690-2024 FSC-klagomål mail.docx", "A 13690-2024")</f>
        <v/>
      </c>
      <c r="AC53">
        <f>HYPERLINK("https://klasma.github.io/Logging_0583/tillsyn/A 13690-2024 tillsynsbegäran.docx", "A 13690-2024")</f>
        <v/>
      </c>
      <c r="AD53">
        <f>HYPERLINK("https://klasma.github.io/Logging_0583/tillsynsmail/A 13690-2024 tillsynsbegäran mail.docx", "A 13690-2024")</f>
        <v/>
      </c>
    </row>
    <row r="54" ht="15" customHeight="1">
      <c r="A54" t="inlineStr">
        <is>
          <t>S 273-2025</t>
        </is>
      </c>
      <c r="B54" t="inlineStr">
        <is>
          <t>samrådsanmälan</t>
        </is>
      </c>
      <c r="C54" t="inlineStr">
        <is>
          <t>Annan skogsbruksåtgärd</t>
        </is>
      </c>
      <c r="D54" s="1" t="n">
        <v>45685</v>
      </c>
      <c r="E54" s="1" t="n">
        <v>46314</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2682-2022</t>
        </is>
      </c>
      <c r="B55" t="inlineStr">
        <is>
          <t>samrådsanmälan</t>
        </is>
      </c>
      <c r="C55" t="inlineStr">
        <is>
          <t>Annan skogsbruksåtgärd</t>
        </is>
      </c>
      <c r="D55" s="1" t="n">
        <v>44701</v>
      </c>
      <c r="E55" s="1" t="n">
        <v>46314</v>
      </c>
      <c r="F55" t="inlineStr">
        <is>
          <t>ÖSTERGÖTLANDS LÄN</t>
        </is>
      </c>
      <c r="G55" t="inlineStr">
        <is>
          <t>MOTALA</t>
        </is>
      </c>
      <c r="H55" t="inlineStr">
        <is>
          <t>Sveaskog</t>
        </is>
      </c>
      <c r="I55" t="n">
        <v>5.5</v>
      </c>
      <c r="J55" t="n">
        <v>0</v>
      </c>
      <c r="K55" t="n">
        <v>0</v>
      </c>
      <c r="L55" t="n">
        <v>0</v>
      </c>
      <c r="M55" t="n">
        <v>0</v>
      </c>
      <c r="N55" t="n">
        <v>1</v>
      </c>
      <c r="O55" t="n">
        <v>0</v>
      </c>
      <c r="P55" t="n">
        <v>0</v>
      </c>
      <c r="Q55" t="n">
        <v>1</v>
      </c>
      <c r="R55" t="n">
        <v>1</v>
      </c>
      <c r="S55" t="n">
        <v>1</v>
      </c>
      <c r="T55" t="n">
        <v>1</v>
      </c>
      <c r="U55" t="n">
        <v>0</v>
      </c>
      <c r="V55" s="2" t="inlineStr">
        <is>
          <t>Ask</t>
        </is>
      </c>
      <c r="W55">
        <f>HYPERLINK("https://klasma.github.io/Logging_0583/artfynd/S 2682-2022 artfynd.xlsx", "S 2682-2022")</f>
        <v/>
      </c>
      <c r="X55">
        <f>HYPERLINK("https://klasma.github.io/Logging_0583/kartor/S 2682-2022 karta.png", "S 2682-2022")</f>
        <v/>
      </c>
      <c r="Y55">
        <f>HYPERLINK("https://klasma.github.io/Logging_0583/kartor_geotiff/S 2682-2022 georefererad karta.tif", "S 2682-2022")</f>
        <v/>
      </c>
      <c r="AA55">
        <f>HYPERLINK("https://klasma.github.io/Logging_0583/klagomål/S 2682-2022 FSC-klagomål.docx", "S 2682-2022")</f>
        <v/>
      </c>
      <c r="AB55">
        <f>HYPERLINK("https://klasma.github.io/Logging_0583/klagomålsmail/S 2682-2022 FSC-klagomål mail.docx", "S 2682-2022")</f>
        <v/>
      </c>
      <c r="AC55">
        <f>HYPERLINK("https://klasma.github.io/Logging_0583/tillsyn/S 2682-2022 tillsynsbegäran.docx", "S 2682-2022")</f>
        <v/>
      </c>
      <c r="AD55">
        <f>HYPERLINK("https://klasma.github.io/Logging_0583/tillsynsmail/S 2682-2022 tillsynsbegäran mail.docx", "S 2682-2022")</f>
        <v/>
      </c>
    </row>
    <row r="56" ht="15" customHeight="1">
      <c r="A56" t="inlineStr">
        <is>
          <t>S 2690-2024</t>
        </is>
      </c>
      <c r="B56" t="inlineStr">
        <is>
          <t>samrådsanmälan</t>
        </is>
      </c>
      <c r="C56" t="inlineStr">
        <is>
          <t>Annan skogsbruksåtgärd</t>
        </is>
      </c>
      <c r="D56" s="1" t="n">
        <v>45481</v>
      </c>
      <c r="E56" s="1" t="n">
        <v>46314</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46314</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46314</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57981-2021</t>
        </is>
      </c>
      <c r="B59" t="inlineStr">
        <is>
          <t>avverkningsanmälan</t>
        </is>
      </c>
      <c r="C59" t="inlineStr">
        <is>
          <t>Föryngringsavverkning</t>
        </is>
      </c>
      <c r="D59" s="1" t="n">
        <v>44487</v>
      </c>
      <c r="E59" s="1" t="n">
        <v>46314</v>
      </c>
      <c r="F59" t="inlineStr">
        <is>
          <t>ÖSTERGÖTLANDS LÄN</t>
        </is>
      </c>
      <c r="G59" t="inlineStr">
        <is>
          <t>MOTALA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46314</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66195-2021</t>
        </is>
      </c>
      <c r="B61" t="inlineStr">
        <is>
          <t>avverkningsanmälan</t>
        </is>
      </c>
      <c r="C61" t="inlineStr">
        <is>
          <t>Föryngringsavverkning</t>
        </is>
      </c>
      <c r="D61" s="1" t="n">
        <v>44518</v>
      </c>
      <c r="E61" s="1" t="n">
        <v>46314</v>
      </c>
      <c r="F61" t="inlineStr">
        <is>
          <t>ÖSTERGÖTLANDS LÄN</t>
        </is>
      </c>
      <c r="G61" t="inlineStr">
        <is>
          <t>MOTALA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54087-2022</t>
        </is>
      </c>
      <c r="B62" t="inlineStr">
        <is>
          <t>avverkningsanmälan</t>
        </is>
      </c>
      <c r="C62" t="inlineStr">
        <is>
          <t>Föryngringsavverkning</t>
        </is>
      </c>
      <c r="D62" s="1" t="n">
        <v>44881</v>
      </c>
      <c r="E62" s="1" t="n">
        <v>46314</v>
      </c>
      <c r="F62" t="inlineStr">
        <is>
          <t>ÖSTERGÖTLANDS LÄN</t>
        </is>
      </c>
      <c r="G62" t="inlineStr">
        <is>
          <t>MOTALA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46314</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46314</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46314</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46314</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46314</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46314</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46314</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46314</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46314</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46314</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43832-2022</t>
        </is>
      </c>
      <c r="B73" t="inlineStr">
        <is>
          <t>avverkningsanmälan</t>
        </is>
      </c>
      <c r="C73" t="inlineStr">
        <is>
          <t>Föryngringsavverkning</t>
        </is>
      </c>
      <c r="D73" s="1" t="n">
        <v>44837</v>
      </c>
      <c r="E73" s="1" t="n">
        <v>46314</v>
      </c>
      <c r="F73" t="inlineStr">
        <is>
          <t>ÖSTERGÖTLANDS LÄN</t>
        </is>
      </c>
      <c r="G73" t="inlineStr">
        <is>
          <t>MOTALA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46314</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40538-2022</t>
        </is>
      </c>
      <c r="B75" t="inlineStr">
        <is>
          <t>avverkningsanmälan</t>
        </is>
      </c>
      <c r="C75" t="inlineStr">
        <is>
          <t>Föryngringsavverkning</t>
        </is>
      </c>
      <c r="D75" s="1" t="n">
        <v>44819</v>
      </c>
      <c r="E75" s="1" t="n">
        <v>46314</v>
      </c>
      <c r="F75" t="inlineStr">
        <is>
          <t>ÖSTERGÖTLANDS LÄN</t>
        </is>
      </c>
      <c r="G75" t="inlineStr">
        <is>
          <t>MOTALA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41926-2022</t>
        </is>
      </c>
      <c r="B76" t="inlineStr">
        <is>
          <t>avverkningsanmälan</t>
        </is>
      </c>
      <c r="C76" t="inlineStr">
        <is>
          <t>Föryngringsavverkning</t>
        </is>
      </c>
      <c r="D76" s="1" t="n">
        <v>44830</v>
      </c>
      <c r="E76" s="1" t="n">
        <v>46314</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49150-2022</t>
        </is>
      </c>
      <c r="B77" t="inlineStr">
        <is>
          <t>avverkningsanmälan</t>
        </is>
      </c>
      <c r="C77" t="inlineStr">
        <is>
          <t>Föryngringsavverkning</t>
        </is>
      </c>
      <c r="D77" s="1" t="n">
        <v>44860</v>
      </c>
      <c r="E77" s="1" t="n">
        <v>46314</v>
      </c>
      <c r="F77" t="inlineStr">
        <is>
          <t>ÖSTERGÖTLANDS LÄN</t>
        </is>
      </c>
      <c r="G77" t="inlineStr">
        <is>
          <t>MOTALA</t>
        </is>
      </c>
      <c r="H77" t="inlineStr">
        <is>
          <t>Sveaskog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46314</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46314</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46314</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46314</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46314</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46314</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261-2022</t>
        </is>
      </c>
      <c r="B84" t="inlineStr">
        <is>
          <t>avverkningsanmälan</t>
        </is>
      </c>
      <c r="C84" t="inlineStr">
        <is>
          <t>Föryngringsavverkning</t>
        </is>
      </c>
      <c r="D84" s="1" t="n">
        <v>44565</v>
      </c>
      <c r="E84" s="1" t="n">
        <v>46314</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66194-2021</t>
        </is>
      </c>
      <c r="B85" t="inlineStr">
        <is>
          <t>avverkningsanmälan</t>
        </is>
      </c>
      <c r="C85" t="inlineStr">
        <is>
          <t>Föryngringsavverkning</t>
        </is>
      </c>
      <c r="D85" s="1" t="n">
        <v>44518</v>
      </c>
      <c r="E85" s="1" t="n">
        <v>46314</v>
      </c>
      <c r="F85" t="inlineStr">
        <is>
          <t>ÖSTERGÖTLANDS LÄN</t>
        </is>
      </c>
      <c r="G85" t="inlineStr">
        <is>
          <t>MOTALA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9708-2022</t>
        </is>
      </c>
      <c r="B86" t="inlineStr">
        <is>
          <t>avverkningsanmälan</t>
        </is>
      </c>
      <c r="C86" t="inlineStr">
        <is>
          <t>Föryngringsavverkning</t>
        </is>
      </c>
      <c r="D86" s="1" t="n">
        <v>44617</v>
      </c>
      <c r="E86" s="1" t="n">
        <v>46314</v>
      </c>
      <c r="F86" t="inlineStr">
        <is>
          <t>ÖSTERGÖTLANDS LÄN</t>
        </is>
      </c>
      <c r="G86" t="inlineStr">
        <is>
          <t>MOTALA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13420-2022</t>
        </is>
      </c>
      <c r="B87" t="inlineStr">
        <is>
          <t>avverkningsanmälan</t>
        </is>
      </c>
      <c r="C87" t="inlineStr">
        <is>
          <t>Föryngringsavverkning</t>
        </is>
      </c>
      <c r="D87" s="1" t="n">
        <v>44645</v>
      </c>
      <c r="E87" s="1" t="n">
        <v>46314</v>
      </c>
      <c r="F87" t="inlineStr">
        <is>
          <t>ÖSTERGÖTLANDS LÄN</t>
        </is>
      </c>
      <c r="G87" t="inlineStr">
        <is>
          <t>MOTALA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41911-2022</t>
        </is>
      </c>
      <c r="B88" t="inlineStr">
        <is>
          <t>avverkningsanmälan</t>
        </is>
      </c>
      <c r="C88" t="inlineStr">
        <is>
          <t>Föryngringsavverkning</t>
        </is>
      </c>
      <c r="D88" s="1" t="n">
        <v>44830</v>
      </c>
      <c r="E88" s="1" t="n">
        <v>46314</v>
      </c>
      <c r="F88" t="inlineStr">
        <is>
          <t>ÖSTERGÖTLANDS LÄN</t>
        </is>
      </c>
      <c r="G88" t="inlineStr">
        <is>
          <t>MOTALA</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7318-2022</t>
        </is>
      </c>
      <c r="B89" t="inlineStr">
        <is>
          <t>avverkningsanmälan</t>
        </is>
      </c>
      <c r="C89" t="inlineStr">
        <is>
          <t>Föryngringsavverkning</t>
        </is>
      </c>
      <c r="D89" s="1" t="n">
        <v>44606</v>
      </c>
      <c r="E89" s="1" t="n">
        <v>46314</v>
      </c>
      <c r="F89" t="inlineStr">
        <is>
          <t>ÖSTERGÖTLANDS LÄN</t>
        </is>
      </c>
      <c r="G89" t="inlineStr">
        <is>
          <t>MOTALA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26755-2022</t>
        </is>
      </c>
      <c r="B90" t="inlineStr">
        <is>
          <t>avverkningsanmälan</t>
        </is>
      </c>
      <c r="C90" t="inlineStr">
        <is>
          <t>Föryngringsavverkning</t>
        </is>
      </c>
      <c r="D90" s="1" t="n">
        <v>44740</v>
      </c>
      <c r="E90" s="1" t="n">
        <v>46314</v>
      </c>
      <c r="F90" t="inlineStr">
        <is>
          <t>ÖSTERGÖTLANDS LÄN</t>
        </is>
      </c>
      <c r="G90" t="inlineStr">
        <is>
          <t>MOTALA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1651-2022</t>
        </is>
      </c>
      <c r="B91" t="inlineStr">
        <is>
          <t>avverkningsanmälan</t>
        </is>
      </c>
      <c r="C91" t="inlineStr">
        <is>
          <t>Föryngringsavverkning</t>
        </is>
      </c>
      <c r="D91" s="1" t="n">
        <v>44573</v>
      </c>
      <c r="E91" s="1" t="n">
        <v>46314</v>
      </c>
      <c r="F91" t="inlineStr">
        <is>
          <t>ÖSTERGÖTLANDS LÄN</t>
        </is>
      </c>
      <c r="G91" t="inlineStr">
        <is>
          <t>MOTALA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987-2022</t>
        </is>
      </c>
      <c r="B92" t="inlineStr">
        <is>
          <t>avverkningsanmälan</t>
        </is>
      </c>
      <c r="C92" t="inlineStr">
        <is>
          <t>Föryngringsavverkning</t>
        </is>
      </c>
      <c r="D92" s="1" t="n">
        <v>44571</v>
      </c>
      <c r="E92" s="1" t="n">
        <v>46314</v>
      </c>
      <c r="F92" t="inlineStr">
        <is>
          <t>ÖSTERGÖTLANDS LÄN</t>
        </is>
      </c>
      <c r="G92" t="inlineStr">
        <is>
          <t>MOTALA</t>
        </is>
      </c>
      <c r="I92" t="n">
        <v>8.5</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46314</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46314</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46314</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35663-2022</t>
        </is>
      </c>
      <c r="B96" t="inlineStr">
        <is>
          <t>avverkningsanmälan</t>
        </is>
      </c>
      <c r="C96" t="inlineStr">
        <is>
          <t>Föryngringsavverkning</t>
        </is>
      </c>
      <c r="D96" s="1" t="n">
        <v>44799</v>
      </c>
      <c r="E96" s="1" t="n">
        <v>46314</v>
      </c>
      <c r="F96" t="inlineStr">
        <is>
          <t>ÖSTERGÖTLANDS LÄN</t>
        </is>
      </c>
      <c r="G96" t="inlineStr">
        <is>
          <t>MOTALA</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1644-2022</t>
        </is>
      </c>
      <c r="B97" t="inlineStr">
        <is>
          <t>avverkningsanmälan</t>
        </is>
      </c>
      <c r="C97" t="inlineStr">
        <is>
          <t>Föryngringsavverkning</t>
        </is>
      </c>
      <c r="D97" s="1" t="n">
        <v>44574</v>
      </c>
      <c r="E97" s="1" t="n">
        <v>46314</v>
      </c>
      <c r="F97" t="inlineStr">
        <is>
          <t>ÖSTERGÖTLANDS LÄN</t>
        </is>
      </c>
      <c r="G97" t="inlineStr">
        <is>
          <t>MOTALA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46314</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46314</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46314</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46314</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46314</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46314</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46314</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34877-2022</t>
        </is>
      </c>
      <c r="B105" t="inlineStr">
        <is>
          <t>avverkningsanmälan</t>
        </is>
      </c>
      <c r="C105" t="inlineStr">
        <is>
          <t>Föryngringsavverkning</t>
        </is>
      </c>
      <c r="D105" s="1" t="n">
        <v>44796</v>
      </c>
      <c r="E105" s="1" t="n">
        <v>46314</v>
      </c>
      <c r="F105" t="inlineStr">
        <is>
          <t>ÖSTERGÖTLANDS LÄN</t>
        </is>
      </c>
      <c r="G105" t="inlineStr">
        <is>
          <t>MOTALA</t>
        </is>
      </c>
      <c r="H105" t="inlineStr">
        <is>
          <t>Övriga statliga verk och myndigheter</t>
        </is>
      </c>
      <c r="I105" t="n">
        <v>21.3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68348-2021</t>
        </is>
      </c>
      <c r="B106" t="inlineStr">
        <is>
          <t>avverkningsanmälan</t>
        </is>
      </c>
      <c r="C106" t="inlineStr">
        <is>
          <t>Föryngringsavverkning</t>
        </is>
      </c>
      <c r="D106" s="1" t="n">
        <v>44528</v>
      </c>
      <c r="E106" s="1" t="n">
        <v>46314</v>
      </c>
      <c r="F106" t="inlineStr">
        <is>
          <t>ÖSTERGÖTLANDS LÄN</t>
        </is>
      </c>
      <c r="G106" t="inlineStr">
        <is>
          <t>MOTALA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46314</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46314</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46314</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37477-2022</t>
        </is>
      </c>
      <c r="B110" t="inlineStr">
        <is>
          <t>avverkningsanmälan</t>
        </is>
      </c>
      <c r="C110" t="inlineStr">
        <is>
          <t>Föryngringsavverkning</t>
        </is>
      </c>
      <c r="D110" s="1" t="n">
        <v>44809</v>
      </c>
      <c r="E110" s="1" t="n">
        <v>46314</v>
      </c>
      <c r="F110" t="inlineStr">
        <is>
          <t>ÖSTERGÖTLANDS LÄN</t>
        </is>
      </c>
      <c r="G110" t="inlineStr">
        <is>
          <t>MOTALA</t>
        </is>
      </c>
      <c r="H110" t="inlineStr">
        <is>
          <t>Övriga statliga verk och myndigheter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41939-2022</t>
        </is>
      </c>
      <c r="B111" t="inlineStr">
        <is>
          <t>avverkningsanmälan</t>
        </is>
      </c>
      <c r="C111" t="inlineStr">
        <is>
          <t>Föryngringsavverkning</t>
        </is>
      </c>
      <c r="D111" s="1" t="n">
        <v>44830</v>
      </c>
      <c r="E111" s="1" t="n">
        <v>46314</v>
      </c>
      <c r="F111" t="inlineStr">
        <is>
          <t>ÖSTERGÖTLANDS LÄN</t>
        </is>
      </c>
      <c r="G111" t="inlineStr">
        <is>
          <t>MOTALA</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9626-2023</t>
        </is>
      </c>
      <c r="B112" t="inlineStr">
        <is>
          <t>avverkningsanmälan</t>
        </is>
      </c>
      <c r="C112" t="inlineStr">
        <is>
          <t>Föryngringsavverkning</t>
        </is>
      </c>
      <c r="D112" s="1" t="n">
        <v>44984</v>
      </c>
      <c r="E112" s="1" t="n">
        <v>46314</v>
      </c>
      <c r="F112" t="inlineStr">
        <is>
          <t>ÖSTERGÖTLANDS LÄN</t>
        </is>
      </c>
      <c r="G112" t="inlineStr">
        <is>
          <t>MOTALA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43995-2023</t>
        </is>
      </c>
      <c r="B113" t="inlineStr">
        <is>
          <t>avverkningsanmälan</t>
        </is>
      </c>
      <c r="C113" t="inlineStr">
        <is>
          <t>Föryngringsavverkning</t>
        </is>
      </c>
      <c r="D113" s="1" t="n">
        <v>45187</v>
      </c>
      <c r="E113" s="1" t="n">
        <v>46314</v>
      </c>
      <c r="F113" t="inlineStr">
        <is>
          <t>ÖSTERGÖTLANDS LÄN</t>
        </is>
      </c>
      <c r="G113" t="inlineStr">
        <is>
          <t>MOTALA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4255-2023</t>
        </is>
      </c>
      <c r="B114" t="inlineStr">
        <is>
          <t>avverkningsanmälan</t>
        </is>
      </c>
      <c r="C114" t="inlineStr">
        <is>
          <t>Föryngringsavverkning</t>
        </is>
      </c>
      <c r="D114" s="1" t="n">
        <v>44953</v>
      </c>
      <c r="E114" s="1" t="n">
        <v>46314</v>
      </c>
      <c r="F114" t="inlineStr">
        <is>
          <t>ÖSTERGÖTLANDS LÄN</t>
        </is>
      </c>
      <c r="G114" t="inlineStr">
        <is>
          <t>MOTALA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13381-2024</t>
        </is>
      </c>
      <c r="B115" t="inlineStr">
        <is>
          <t>avverkningsanmälan</t>
        </is>
      </c>
      <c r="C115" t="inlineStr">
        <is>
          <t>Föryngringsavverkning</t>
        </is>
      </c>
      <c r="D115" s="1" t="n">
        <v>45387</v>
      </c>
      <c r="E115" s="1" t="n">
        <v>46314</v>
      </c>
      <c r="F115" t="inlineStr">
        <is>
          <t>ÖSTERGÖTLANDS LÄN</t>
        </is>
      </c>
      <c r="G115" t="inlineStr">
        <is>
          <t>MOTALA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9081-2022</t>
        </is>
      </c>
      <c r="B116" t="inlineStr">
        <is>
          <t>avverkningsanmälan</t>
        </is>
      </c>
      <c r="C116" t="inlineStr">
        <is>
          <t>Föryngringsavverkning</t>
        </is>
      </c>
      <c r="D116" s="1" t="n">
        <v>44615</v>
      </c>
      <c r="E116" s="1" t="n">
        <v>46314</v>
      </c>
      <c r="F116" t="inlineStr">
        <is>
          <t>ÖSTERGÖTLANDS LÄN</t>
        </is>
      </c>
      <c r="G116" t="inlineStr">
        <is>
          <t>MOTALA</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12916-2023</t>
        </is>
      </c>
      <c r="B117" t="inlineStr">
        <is>
          <t>avverkningsanmälan</t>
        </is>
      </c>
      <c r="C117" t="inlineStr">
        <is>
          <t>Föryngringsavverkning</t>
        </is>
      </c>
      <c r="D117" s="1" t="n">
        <v>45001</v>
      </c>
      <c r="E117" s="1" t="n">
        <v>46314</v>
      </c>
      <c r="F117" t="inlineStr">
        <is>
          <t>ÖSTERGÖTLANDS LÄN</t>
        </is>
      </c>
      <c r="G117" t="inlineStr">
        <is>
          <t>MOTALA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53491-2022</t>
        </is>
      </c>
      <c r="B118" t="inlineStr">
        <is>
          <t>avverkningsanmälan</t>
        </is>
      </c>
      <c r="C118" t="inlineStr">
        <is>
          <t>Föryngringsavverkning</t>
        </is>
      </c>
      <c r="D118" s="1" t="n">
        <v>44879</v>
      </c>
      <c r="E118" s="1" t="n">
        <v>46314</v>
      </c>
      <c r="F118" t="inlineStr">
        <is>
          <t>ÖSTERGÖTLANDS LÄN</t>
        </is>
      </c>
      <c r="G118" t="inlineStr">
        <is>
          <t>MOTALA</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24090-2023</t>
        </is>
      </c>
      <c r="B119" t="inlineStr">
        <is>
          <t>avverkningsanmälan</t>
        </is>
      </c>
      <c r="C119" t="inlineStr">
        <is>
          <t>Föryngringsavverkning</t>
        </is>
      </c>
      <c r="D119" s="1" t="n">
        <v>45079</v>
      </c>
      <c r="E119" s="1" t="n">
        <v>46314</v>
      </c>
      <c r="F119" t="inlineStr">
        <is>
          <t>ÖSTERGÖTLANDS LÄN</t>
        </is>
      </c>
      <c r="G119" t="inlineStr">
        <is>
          <t>MOTALA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23580-2024</t>
        </is>
      </c>
      <c r="B120" t="inlineStr">
        <is>
          <t>avverkningsanmälan</t>
        </is>
      </c>
      <c r="C120" t="inlineStr">
        <is>
          <t>Föryngringsavverkning</t>
        </is>
      </c>
      <c r="D120" s="1" t="n">
        <v>45454</v>
      </c>
      <c r="E120" s="1" t="n">
        <v>46314</v>
      </c>
      <c r="F120" t="inlineStr">
        <is>
          <t>ÖSTERGÖTLANDS LÄN</t>
        </is>
      </c>
      <c r="G120" t="inlineStr">
        <is>
          <t>MOTALA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15544-2025</t>
        </is>
      </c>
      <c r="B121" t="inlineStr">
        <is>
          <t>avverkningsanmälan</t>
        </is>
      </c>
      <c r="C121" t="inlineStr">
        <is>
          <t>Föryngringsavverkning</t>
        </is>
      </c>
      <c r="D121" s="1" t="n">
        <v>45747</v>
      </c>
      <c r="E121" s="1" t="n">
        <v>46314</v>
      </c>
      <c r="F121" t="inlineStr">
        <is>
          <t>ÖSTERGÖTLANDS LÄN</t>
        </is>
      </c>
      <c r="G121" t="inlineStr">
        <is>
          <t>MOTALA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64164-2023</t>
        </is>
      </c>
      <c r="B122" t="inlineStr">
        <is>
          <t>avverkningsanmälan</t>
        </is>
      </c>
      <c r="C122" t="inlineStr">
        <is>
          <t>Föryngringsavverkning</t>
        </is>
      </c>
      <c r="D122" s="1" t="n">
        <v>45279</v>
      </c>
      <c r="E122" s="1" t="n">
        <v>46314</v>
      </c>
      <c r="F122" t="inlineStr">
        <is>
          <t>ÖSTERGÖTLANDS LÄN</t>
        </is>
      </c>
      <c r="G122" t="inlineStr">
        <is>
          <t>MOTALA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43369-2023</t>
        </is>
      </c>
      <c r="B123" t="inlineStr">
        <is>
          <t>avverkningsanmälan</t>
        </is>
      </c>
      <c r="C123" t="inlineStr">
        <is>
          <t>Föryngringsavverkning</t>
        </is>
      </c>
      <c r="D123" s="1" t="n">
        <v>45183</v>
      </c>
      <c r="E123" s="1" t="n">
        <v>46314</v>
      </c>
      <c r="F123" t="inlineStr">
        <is>
          <t>ÖSTERGÖTLANDS LÄN</t>
        </is>
      </c>
      <c r="G123" t="inlineStr">
        <is>
          <t>MOTALA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7295-2022</t>
        </is>
      </c>
      <c r="B124" t="inlineStr">
        <is>
          <t>avverkningsanmälan</t>
        </is>
      </c>
      <c r="C124" t="inlineStr">
        <is>
          <t>Föryngringsavverkning</t>
        </is>
      </c>
      <c r="D124" s="1" t="n">
        <v>44606</v>
      </c>
      <c r="E124" s="1" t="n">
        <v>46314</v>
      </c>
      <c r="F124" t="inlineStr">
        <is>
          <t>ÖSTERGÖTLANDS LÄN</t>
        </is>
      </c>
      <c r="G124" t="inlineStr">
        <is>
          <t>MOTALA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31430-2023</t>
        </is>
      </c>
      <c r="B125" t="inlineStr">
        <is>
          <t>avverkningsanmälan</t>
        </is>
      </c>
      <c r="C125" t="inlineStr">
        <is>
          <t>Föryngringsavverkning</t>
        </is>
      </c>
      <c r="D125" s="1" t="n">
        <v>45114</v>
      </c>
      <c r="E125" s="1" t="n">
        <v>46314</v>
      </c>
      <c r="F125" t="inlineStr">
        <is>
          <t>ÖSTERGÖTLANDS LÄN</t>
        </is>
      </c>
      <c r="G125" t="inlineStr">
        <is>
          <t>MOTALA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49867-2024</t>
        </is>
      </c>
      <c r="B126" t="inlineStr">
        <is>
          <t>avverkningsanmälan</t>
        </is>
      </c>
      <c r="C126" t="inlineStr">
        <is>
          <t>Föryngringsavverkning</t>
        </is>
      </c>
      <c r="D126" s="1" t="n">
        <v>45597</v>
      </c>
      <c r="E126" s="1" t="n">
        <v>46314</v>
      </c>
      <c r="F126" t="inlineStr">
        <is>
          <t>ÖSTERGÖTLANDS LÄN</t>
        </is>
      </c>
      <c r="G126" t="inlineStr">
        <is>
          <t>MOTALA</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567-2022</t>
        </is>
      </c>
      <c r="B127" t="inlineStr">
        <is>
          <t>avverkningsanmälan</t>
        </is>
      </c>
      <c r="C127" t="inlineStr">
        <is>
          <t>Föryngringsavverkning</t>
        </is>
      </c>
      <c r="D127" s="1" t="n">
        <v>44566</v>
      </c>
      <c r="E127" s="1" t="n">
        <v>46314</v>
      </c>
      <c r="F127" t="inlineStr">
        <is>
          <t>ÖSTERGÖTLANDS LÄN</t>
        </is>
      </c>
      <c r="G127" t="inlineStr">
        <is>
          <t>MOTALA</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7058-2024</t>
        </is>
      </c>
      <c r="B128" t="inlineStr">
        <is>
          <t>avverkningsanmälan</t>
        </is>
      </c>
      <c r="C128" t="inlineStr">
        <is>
          <t>Föryngringsavverkning</t>
        </is>
      </c>
      <c r="D128" s="1" t="n">
        <v>45343</v>
      </c>
      <c r="E128" s="1" t="n">
        <v>46314</v>
      </c>
      <c r="F128" t="inlineStr">
        <is>
          <t>ÖSTERGÖTLANDS LÄN</t>
        </is>
      </c>
      <c r="G128" t="inlineStr">
        <is>
          <t>MOTALA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1172-2024</t>
        </is>
      </c>
      <c r="B129" t="inlineStr">
        <is>
          <t>avverkningsanmälan</t>
        </is>
      </c>
      <c r="C129" t="inlineStr">
        <is>
          <t>Föryngringsavverkning</t>
        </is>
      </c>
      <c r="D129" s="1" t="n">
        <v>45302</v>
      </c>
      <c r="E129" s="1" t="n">
        <v>46314</v>
      </c>
      <c r="F129" t="inlineStr">
        <is>
          <t>ÖSTERGÖTLANDS LÄN</t>
        </is>
      </c>
      <c r="G129" t="inlineStr">
        <is>
          <t>MOTALA</t>
        </is>
      </c>
      <c r="H129" t="inlineStr">
        <is>
          <t>Övriga statliga verk och myndigheter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11168-2023</t>
        </is>
      </c>
      <c r="B130" t="inlineStr">
        <is>
          <t>avverkningsanmälan</t>
        </is>
      </c>
      <c r="C130" t="inlineStr">
        <is>
          <t>Föryngringsavverkning</t>
        </is>
      </c>
      <c r="D130" s="1" t="n">
        <v>44992</v>
      </c>
      <c r="E130" s="1" t="n">
        <v>46314</v>
      </c>
      <c r="F130" t="inlineStr">
        <is>
          <t>ÖSTERGÖTLANDS LÄN</t>
        </is>
      </c>
      <c r="G130" t="inlineStr">
        <is>
          <t>MOTALA</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25977-2022</t>
        </is>
      </c>
      <c r="B131" t="inlineStr">
        <is>
          <t>avverkningsanmälan</t>
        </is>
      </c>
      <c r="C131" t="inlineStr">
        <is>
          <t>Föryngringsavverkning</t>
        </is>
      </c>
      <c r="D131" s="1" t="n">
        <v>44734</v>
      </c>
      <c r="E131" s="1" t="n">
        <v>46314</v>
      </c>
      <c r="F131" t="inlineStr">
        <is>
          <t>ÖSTERGÖTLANDS LÄN</t>
        </is>
      </c>
      <c r="G131" t="inlineStr">
        <is>
          <t>MOTALA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50137-2023</t>
        </is>
      </c>
      <c r="B132" t="inlineStr">
        <is>
          <t>avverkningsanmälan</t>
        </is>
      </c>
      <c r="C132" t="inlineStr">
        <is>
          <t>Föryngringsavverkning</t>
        </is>
      </c>
      <c r="D132" s="1" t="n">
        <v>45215</v>
      </c>
      <c r="E132" s="1" t="n">
        <v>46314</v>
      </c>
      <c r="F132" t="inlineStr">
        <is>
          <t>ÖSTERGÖTLANDS LÄN</t>
        </is>
      </c>
      <c r="G132" t="inlineStr">
        <is>
          <t>MOTALA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28681-2022</t>
        </is>
      </c>
      <c r="B133" t="inlineStr">
        <is>
          <t>avverkningsanmälan</t>
        </is>
      </c>
      <c r="C133" t="inlineStr">
        <is>
          <t>Föryngringsavverkning</t>
        </is>
      </c>
      <c r="D133" s="1" t="n">
        <v>44748</v>
      </c>
      <c r="E133" s="1" t="n">
        <v>46314</v>
      </c>
      <c r="F133" t="inlineStr">
        <is>
          <t>ÖSTERGÖTLANDS LÄN</t>
        </is>
      </c>
      <c r="G133" t="inlineStr">
        <is>
          <t>MOTALA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1038-2023</t>
        </is>
      </c>
      <c r="B134" t="inlineStr">
        <is>
          <t>avverkningsanmälan</t>
        </is>
      </c>
      <c r="C134" t="inlineStr">
        <is>
          <t>Föryngringsavverkning</t>
        </is>
      </c>
      <c r="D134" s="1" t="n">
        <v>44935</v>
      </c>
      <c r="E134" s="1" t="n">
        <v>46314</v>
      </c>
      <c r="F134" t="inlineStr">
        <is>
          <t>ÖSTERGÖTLANDS LÄN</t>
        </is>
      </c>
      <c r="G134" t="inlineStr">
        <is>
          <t>MOTALA</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3993-2023</t>
        </is>
      </c>
      <c r="B135" t="inlineStr">
        <is>
          <t>avverkningsanmälan</t>
        </is>
      </c>
      <c r="C135" t="inlineStr">
        <is>
          <t>Föryngringsavverkning</t>
        </is>
      </c>
      <c r="D135" s="1" t="n">
        <v>44952</v>
      </c>
      <c r="E135" s="1" t="n">
        <v>46314</v>
      </c>
      <c r="F135" t="inlineStr">
        <is>
          <t>ÖSTERGÖTLANDS LÄN</t>
        </is>
      </c>
      <c r="G135" t="inlineStr">
        <is>
          <t>MOTALA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41093-2023</t>
        </is>
      </c>
      <c r="B136" t="inlineStr">
        <is>
          <t>avverkningsanmälan</t>
        </is>
      </c>
      <c r="C136" t="inlineStr">
        <is>
          <t>Föryngringsavverkning</t>
        </is>
      </c>
      <c r="D136" s="1" t="n">
        <v>45173</v>
      </c>
      <c r="E136" s="1" t="n">
        <v>46314</v>
      </c>
      <c r="F136" t="inlineStr">
        <is>
          <t>ÖSTERGÖTLANDS LÄN</t>
        </is>
      </c>
      <c r="G136" t="inlineStr">
        <is>
          <t>MOTALA</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1474-2023</t>
        </is>
      </c>
      <c r="B137" t="inlineStr">
        <is>
          <t>avverkningsanmälan</t>
        </is>
      </c>
      <c r="C137" t="inlineStr">
        <is>
          <t>Föryngringsavverkning</t>
        </is>
      </c>
      <c r="D137" s="1" t="n">
        <v>44937</v>
      </c>
      <c r="E137" s="1" t="n">
        <v>46314</v>
      </c>
      <c r="F137" t="inlineStr">
        <is>
          <t>ÖSTERGÖTLANDS LÄN</t>
        </is>
      </c>
      <c r="G137" t="inlineStr">
        <is>
          <t>MOTALA</t>
        </is>
      </c>
      <c r="H137" t="inlineStr">
        <is>
          <t>Kommuner</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60682-2024</t>
        </is>
      </c>
      <c r="B138" t="inlineStr">
        <is>
          <t>avverkningsanmälan</t>
        </is>
      </c>
      <c r="C138" t="inlineStr">
        <is>
          <t>Föryngringsavverkning</t>
        </is>
      </c>
      <c r="D138" s="1" t="n">
        <v>45644</v>
      </c>
      <c r="E138" s="1" t="n">
        <v>46314</v>
      </c>
      <c r="F138" t="inlineStr">
        <is>
          <t>ÖSTERGÖTLANDS LÄN</t>
        </is>
      </c>
      <c r="G138" t="inlineStr">
        <is>
          <t>MOTALA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29077-2022</t>
        </is>
      </c>
      <c r="B139" t="inlineStr">
        <is>
          <t>avverkningsanmälan</t>
        </is>
      </c>
      <c r="C139" t="inlineStr">
        <is>
          <t>Föryngringsavverkning</t>
        </is>
      </c>
      <c r="D139" s="1" t="n">
        <v>44750</v>
      </c>
      <c r="E139" s="1" t="n">
        <v>46314</v>
      </c>
      <c r="F139" t="inlineStr">
        <is>
          <t>ÖSTERGÖTLANDS LÄN</t>
        </is>
      </c>
      <c r="G139" t="inlineStr">
        <is>
          <t>MOTALA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21201-2024</t>
        </is>
      </c>
      <c r="B140" t="inlineStr">
        <is>
          <t>avverkningsanmälan</t>
        </is>
      </c>
      <c r="C140" t="inlineStr">
        <is>
          <t>Föryngringsavverkning</t>
        </is>
      </c>
      <c r="D140" s="1" t="n">
        <v>45440</v>
      </c>
      <c r="E140" s="1" t="n">
        <v>46314</v>
      </c>
      <c r="F140" t="inlineStr">
        <is>
          <t>ÖSTERGÖTLANDS LÄN</t>
        </is>
      </c>
      <c r="G140" t="inlineStr">
        <is>
          <t>MOTALA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37279-2024</t>
        </is>
      </c>
      <c r="B141" t="inlineStr">
        <is>
          <t>avverkningsanmälan</t>
        </is>
      </c>
      <c r="C141" t="inlineStr">
        <is>
          <t>Föryngringsavverkning</t>
        </is>
      </c>
      <c r="D141" s="1" t="n">
        <v>45540</v>
      </c>
      <c r="E141" s="1" t="n">
        <v>46314</v>
      </c>
      <c r="F141" t="inlineStr">
        <is>
          <t>ÖSTERGÖTLANDS LÄN</t>
        </is>
      </c>
      <c r="G141" t="inlineStr">
        <is>
          <t>MOTALA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30377-2023</t>
        </is>
      </c>
      <c r="B142" t="inlineStr">
        <is>
          <t>avverkningsanmälan</t>
        </is>
      </c>
      <c r="C142" t="inlineStr">
        <is>
          <t>Föryngringsavverkning</t>
        </is>
      </c>
      <c r="D142" s="1" t="n">
        <v>45111</v>
      </c>
      <c r="E142" s="1" t="n">
        <v>46314</v>
      </c>
      <c r="F142" t="inlineStr">
        <is>
          <t>ÖSTERGÖTLANDS LÄN</t>
        </is>
      </c>
      <c r="G142" t="inlineStr">
        <is>
          <t>MOTALA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38660-2024</t>
        </is>
      </c>
      <c r="B143" t="inlineStr">
        <is>
          <t>avverkningsanmälan</t>
        </is>
      </c>
      <c r="C143" t="inlineStr">
        <is>
          <t>Föryngringsavverkning</t>
        </is>
      </c>
      <c r="D143" s="1" t="n">
        <v>45546</v>
      </c>
      <c r="E143" s="1" t="n">
        <v>46314</v>
      </c>
      <c r="F143" t="inlineStr">
        <is>
          <t>ÖSTERGÖTLANDS LÄN</t>
        </is>
      </c>
      <c r="G143" t="inlineStr">
        <is>
          <t>MOTALA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64184-2023</t>
        </is>
      </c>
      <c r="B144" t="inlineStr">
        <is>
          <t>avverkningsanmälan</t>
        </is>
      </c>
      <c r="C144" t="inlineStr">
        <is>
          <t>Föryngringsavverkning</t>
        </is>
      </c>
      <c r="D144" s="1" t="n">
        <v>45279</v>
      </c>
      <c r="E144" s="1" t="n">
        <v>46314</v>
      </c>
      <c r="F144" t="inlineStr">
        <is>
          <t>ÖSTERGÖTLANDS LÄN</t>
        </is>
      </c>
      <c r="G144" t="inlineStr">
        <is>
          <t>MOTALA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19526-2024</t>
        </is>
      </c>
      <c r="B145" t="inlineStr">
        <is>
          <t>avverkningsanmälan</t>
        </is>
      </c>
      <c r="C145" t="inlineStr">
        <is>
          <t>Föryngringsavverkning</t>
        </is>
      </c>
      <c r="D145" s="1" t="n">
        <v>45429</v>
      </c>
      <c r="E145" s="1" t="n">
        <v>46314</v>
      </c>
      <c r="F145" t="inlineStr">
        <is>
          <t>ÖSTERGÖTLANDS LÄN</t>
        </is>
      </c>
      <c r="G145" t="inlineStr">
        <is>
          <t>MOTALA</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2028-2022</t>
        </is>
      </c>
      <c r="B146" t="inlineStr">
        <is>
          <t>avverkningsanmälan</t>
        </is>
      </c>
      <c r="C146" t="inlineStr">
        <is>
          <t>Avverkning för annat ändamål</t>
        </is>
      </c>
      <c r="D146" s="1" t="n">
        <v>44575</v>
      </c>
      <c r="E146" s="1" t="n">
        <v>46314</v>
      </c>
      <c r="F146" t="inlineStr">
        <is>
          <t>ÖSTERGÖTLANDS LÄN</t>
        </is>
      </c>
      <c r="G146" t="inlineStr">
        <is>
          <t>MOTALA</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47308-2023</t>
        </is>
      </c>
      <c r="B147" t="inlineStr">
        <is>
          <t>avverkningsanmälan</t>
        </is>
      </c>
      <c r="C147" t="inlineStr">
        <is>
          <t>Föryngringsavverkning</t>
        </is>
      </c>
      <c r="D147" s="1" t="n">
        <v>45202</v>
      </c>
      <c r="E147" s="1" t="n">
        <v>46314</v>
      </c>
      <c r="F147" t="inlineStr">
        <is>
          <t>ÖSTERGÖTLANDS LÄN</t>
        </is>
      </c>
      <c r="G147" t="inlineStr">
        <is>
          <t>MOTALA</t>
        </is>
      </c>
      <c r="I147" t="n">
        <v>17.6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6991-2023</t>
        </is>
      </c>
      <c r="B148" t="inlineStr">
        <is>
          <t>avverkningsanmälan</t>
        </is>
      </c>
      <c r="C148" t="inlineStr">
        <is>
          <t>Föryngringsavverkning</t>
        </is>
      </c>
      <c r="D148" s="1" t="n">
        <v>44967</v>
      </c>
      <c r="E148" s="1" t="n">
        <v>46314</v>
      </c>
      <c r="F148" t="inlineStr">
        <is>
          <t>ÖSTERGÖTLANDS LÄN</t>
        </is>
      </c>
      <c r="G148" t="inlineStr">
        <is>
          <t>MOTALA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6996-2023</t>
        </is>
      </c>
      <c r="B149" t="inlineStr">
        <is>
          <t>avverkningsanmälan</t>
        </is>
      </c>
      <c r="C149" t="inlineStr">
        <is>
          <t>Föryngringsavverkning</t>
        </is>
      </c>
      <c r="D149" s="1" t="n">
        <v>44967</v>
      </c>
      <c r="E149" s="1" t="n">
        <v>46314</v>
      </c>
      <c r="F149" t="inlineStr">
        <is>
          <t>ÖSTERGÖTLANDS LÄN</t>
        </is>
      </c>
      <c r="G149" t="inlineStr">
        <is>
          <t>MOTALA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15599-2024</t>
        </is>
      </c>
      <c r="B150" t="inlineStr">
        <is>
          <t>avverkningsanmälan</t>
        </is>
      </c>
      <c r="C150" t="inlineStr">
        <is>
          <t>Föryngringsavverkning</t>
        </is>
      </c>
      <c r="D150" s="1" t="n">
        <v>45401</v>
      </c>
      <c r="E150" s="1" t="n">
        <v>46314</v>
      </c>
      <c r="F150" t="inlineStr">
        <is>
          <t>ÖSTERGÖTLANDS LÄN</t>
        </is>
      </c>
      <c r="G150" t="inlineStr">
        <is>
          <t>MOTALA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31683-2022</t>
        </is>
      </c>
      <c r="B151" t="inlineStr">
        <is>
          <t>avverkningsanmälan</t>
        </is>
      </c>
      <c r="C151" t="inlineStr">
        <is>
          <t>Föryngringsavverkning</t>
        </is>
      </c>
      <c r="D151" s="1" t="n">
        <v>44776</v>
      </c>
      <c r="E151" s="1" t="n">
        <v>46314</v>
      </c>
      <c r="F151" t="inlineStr">
        <is>
          <t>ÖSTERGÖTLANDS LÄN</t>
        </is>
      </c>
      <c r="G151" t="inlineStr">
        <is>
          <t>MOTALA</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2201-2023</t>
        </is>
      </c>
      <c r="B152" t="inlineStr">
        <is>
          <t>avverkningsanmälan</t>
        </is>
      </c>
      <c r="C152" t="inlineStr">
        <is>
          <t>Föryngringsavverkning</t>
        </is>
      </c>
      <c r="D152" s="1" t="n">
        <v>44942</v>
      </c>
      <c r="E152" s="1" t="n">
        <v>46314</v>
      </c>
      <c r="F152" t="inlineStr">
        <is>
          <t>ÖSTERGÖTLANDS LÄN</t>
        </is>
      </c>
      <c r="G152" t="inlineStr">
        <is>
          <t>MOTALA</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1092-2023</t>
        </is>
      </c>
      <c r="B153" t="inlineStr">
        <is>
          <t>avverkningsanmälan</t>
        </is>
      </c>
      <c r="C153" t="inlineStr">
        <is>
          <t>Föryngringsavverkning</t>
        </is>
      </c>
      <c r="D153" s="1" t="n">
        <v>44935</v>
      </c>
      <c r="E153" s="1" t="n">
        <v>46314</v>
      </c>
      <c r="F153" t="inlineStr">
        <is>
          <t>ÖSTERGÖTLANDS LÄN</t>
        </is>
      </c>
      <c r="G153" t="inlineStr">
        <is>
          <t>MOTALA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50248-2022</t>
        </is>
      </c>
      <c r="B154" t="inlineStr">
        <is>
          <t>avverkningsanmälan</t>
        </is>
      </c>
      <c r="C154" t="inlineStr">
        <is>
          <t>Föryngringsavverkning</t>
        </is>
      </c>
      <c r="D154" s="1" t="n">
        <v>44865</v>
      </c>
      <c r="E154" s="1" t="n">
        <v>46314</v>
      </c>
      <c r="F154" t="inlineStr">
        <is>
          <t>ÖSTERGÖTLANDS LÄN</t>
        </is>
      </c>
      <c r="G154" t="inlineStr">
        <is>
          <t>MOTALA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56275-2022</t>
        </is>
      </c>
      <c r="B155" t="inlineStr">
        <is>
          <t>avverkningsanmälan</t>
        </is>
      </c>
      <c r="C155" t="inlineStr">
        <is>
          <t>Föryngringsavverkning</t>
        </is>
      </c>
      <c r="D155" s="1" t="n">
        <v>44890</v>
      </c>
      <c r="E155" s="1" t="n">
        <v>46314</v>
      </c>
      <c r="F155" t="inlineStr">
        <is>
          <t>ÖSTERGÖTLANDS LÄN</t>
        </is>
      </c>
      <c r="G155" t="inlineStr">
        <is>
          <t>MOTALA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26785-2024</t>
        </is>
      </c>
      <c r="B156" t="inlineStr">
        <is>
          <t>avverkningsanmälan</t>
        </is>
      </c>
      <c r="C156" t="inlineStr">
        <is>
          <t>Föryngringsavverkning</t>
        </is>
      </c>
      <c r="D156" s="1" t="n">
        <v>45470</v>
      </c>
      <c r="E156" s="1" t="n">
        <v>46314</v>
      </c>
      <c r="F156" t="inlineStr">
        <is>
          <t>ÖSTERGÖTLANDS LÄN</t>
        </is>
      </c>
      <c r="G156" t="inlineStr">
        <is>
          <t>MOTALA</t>
        </is>
      </c>
      <c r="H156" t="inlineStr">
        <is>
          <t>Sveaskog</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61002-2022</t>
        </is>
      </c>
      <c r="B157" t="inlineStr">
        <is>
          <t>avverkningsanmälan</t>
        </is>
      </c>
      <c r="C157" t="inlineStr">
        <is>
          <t>Föryngringsavverkning</t>
        </is>
      </c>
      <c r="D157" s="1" t="n">
        <v>44914</v>
      </c>
      <c r="E157" s="1" t="n">
        <v>46314</v>
      </c>
      <c r="F157" t="inlineStr">
        <is>
          <t>ÖSTERGÖTLANDS LÄN</t>
        </is>
      </c>
      <c r="G157" t="inlineStr">
        <is>
          <t>MOTALA</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13422-2022</t>
        </is>
      </c>
      <c r="B158" t="inlineStr">
        <is>
          <t>avverkningsanmälan</t>
        </is>
      </c>
      <c r="C158" t="inlineStr">
        <is>
          <t>Avverkning för annat ändamål</t>
        </is>
      </c>
      <c r="D158" s="1" t="n">
        <v>44645</v>
      </c>
      <c r="E158" s="1" t="n">
        <v>46314</v>
      </c>
      <c r="F158" t="inlineStr">
        <is>
          <t>ÖSTERGÖTLANDS LÄN</t>
        </is>
      </c>
      <c r="G158" t="inlineStr">
        <is>
          <t>MOTALA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55277-2023</t>
        </is>
      </c>
      <c r="B159" t="inlineStr">
        <is>
          <t>avverkningsanmälan</t>
        </is>
      </c>
      <c r="C159" t="inlineStr">
        <is>
          <t>Föryngringsavverkning</t>
        </is>
      </c>
      <c r="D159" s="1" t="n">
        <v>45237</v>
      </c>
      <c r="E159" s="1" t="n">
        <v>46314</v>
      </c>
      <c r="F159" t="inlineStr">
        <is>
          <t>ÖSTERGÖTLANDS LÄN</t>
        </is>
      </c>
      <c r="G159" t="inlineStr">
        <is>
          <t>MOTALA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41901-2022</t>
        </is>
      </c>
      <c r="B160" t="inlineStr">
        <is>
          <t>avverkningsanmälan</t>
        </is>
      </c>
      <c r="C160" t="inlineStr">
        <is>
          <t>Föryngringsavverkning</t>
        </is>
      </c>
      <c r="D160" s="1" t="n">
        <v>44830</v>
      </c>
      <c r="E160" s="1" t="n">
        <v>46314</v>
      </c>
      <c r="F160" t="inlineStr">
        <is>
          <t>ÖSTERGÖTLANDS LÄN</t>
        </is>
      </c>
      <c r="G160" t="inlineStr">
        <is>
          <t>MOTALA</t>
        </is>
      </c>
      <c r="H160" t="inlineStr">
        <is>
          <t>Sveaskog</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41924-2022</t>
        </is>
      </c>
      <c r="B161" t="inlineStr">
        <is>
          <t>avverkningsanmälan</t>
        </is>
      </c>
      <c r="C161" t="inlineStr">
        <is>
          <t>Föryngringsavverkning</t>
        </is>
      </c>
      <c r="D161" s="1" t="n">
        <v>44830</v>
      </c>
      <c r="E161" s="1" t="n">
        <v>46314</v>
      </c>
      <c r="F161" t="inlineStr">
        <is>
          <t>ÖSTERGÖTLANDS LÄN</t>
        </is>
      </c>
      <c r="G161" t="inlineStr">
        <is>
          <t>MOTALA</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41925-2022</t>
        </is>
      </c>
      <c r="B162" t="inlineStr">
        <is>
          <t>avverkningsanmälan</t>
        </is>
      </c>
      <c r="C162" t="inlineStr">
        <is>
          <t>Föryngringsavverkning</t>
        </is>
      </c>
      <c r="D162" s="1" t="n">
        <v>44830</v>
      </c>
      <c r="E162" s="1" t="n">
        <v>46314</v>
      </c>
      <c r="F162" t="inlineStr">
        <is>
          <t>ÖSTERGÖTLANDS LÄN</t>
        </is>
      </c>
      <c r="G162" t="inlineStr">
        <is>
          <t>MOTALA</t>
        </is>
      </c>
      <c r="H162" t="inlineStr">
        <is>
          <t>Sveaskog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41929-2022</t>
        </is>
      </c>
      <c r="B163" t="inlineStr">
        <is>
          <t>avverkningsanmälan</t>
        </is>
      </c>
      <c r="C163" t="inlineStr">
        <is>
          <t>Föryngringsavverkning</t>
        </is>
      </c>
      <c r="D163" s="1" t="n">
        <v>44830</v>
      </c>
      <c r="E163" s="1" t="n">
        <v>46314</v>
      </c>
      <c r="F163" t="inlineStr">
        <is>
          <t>ÖSTERGÖTLANDS LÄN</t>
        </is>
      </c>
      <c r="G163" t="inlineStr">
        <is>
          <t>MOTALA</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7051-2024</t>
        </is>
      </c>
      <c r="B164" t="inlineStr">
        <is>
          <t>avverkningsanmälan</t>
        </is>
      </c>
      <c r="C164" t="inlineStr">
        <is>
          <t>Föryngringsavverkning</t>
        </is>
      </c>
      <c r="D164" s="1" t="n">
        <v>45343</v>
      </c>
      <c r="E164" s="1" t="n">
        <v>46314</v>
      </c>
      <c r="F164" t="inlineStr">
        <is>
          <t>ÖSTERGÖTLANDS LÄN</t>
        </is>
      </c>
      <c r="G164" t="inlineStr">
        <is>
          <t>MOTALA</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45099-2023</t>
        </is>
      </c>
      <c r="B165" t="inlineStr">
        <is>
          <t>avverkningsanmälan</t>
        </is>
      </c>
      <c r="C165" t="inlineStr">
        <is>
          <t>Föryngringsavverkning</t>
        </is>
      </c>
      <c r="D165" s="1" t="n">
        <v>45187</v>
      </c>
      <c r="E165" s="1" t="n">
        <v>46314</v>
      </c>
      <c r="F165" t="inlineStr">
        <is>
          <t>ÖSTERGÖTLANDS LÄN</t>
        </is>
      </c>
      <c r="G165" t="inlineStr">
        <is>
          <t>MOTALA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5888-2025</t>
        </is>
      </c>
      <c r="B166" t="inlineStr">
        <is>
          <t>avverkningsanmälan</t>
        </is>
      </c>
      <c r="C166" t="inlineStr">
        <is>
          <t>Föryngringsavverkning</t>
        </is>
      </c>
      <c r="D166" s="1" t="n">
        <v>45695</v>
      </c>
      <c r="E166" s="1" t="n">
        <v>46314</v>
      </c>
      <c r="F166" t="inlineStr">
        <is>
          <t>ÖSTERGÖTLANDS LÄN</t>
        </is>
      </c>
      <c r="G166" t="inlineStr">
        <is>
          <t>MOTALA</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11061-2022</t>
        </is>
      </c>
      <c r="B167" t="inlineStr">
        <is>
          <t>avverkningsanmälan</t>
        </is>
      </c>
      <c r="C167" t="inlineStr">
        <is>
          <t>Föryngringsavverkning</t>
        </is>
      </c>
      <c r="D167" s="1" t="n">
        <v>44628</v>
      </c>
      <c r="E167" s="1" t="n">
        <v>46314</v>
      </c>
      <c r="F167" t="inlineStr">
        <is>
          <t>ÖSTERGÖTLANDS LÄN</t>
        </is>
      </c>
      <c r="G167" t="inlineStr">
        <is>
          <t>MOTALA</t>
        </is>
      </c>
      <c r="H167" t="inlineStr">
        <is>
          <t>Allmännings- och besparingsskogar</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52385-2025</t>
        </is>
      </c>
      <c r="B168" t="inlineStr">
        <is>
          <t>avverkningsanmälan</t>
        </is>
      </c>
      <c r="C168" t="inlineStr">
        <is>
          <t>Föryngringsavverkning</t>
        </is>
      </c>
      <c r="D168" s="1" t="n">
        <v>45954</v>
      </c>
      <c r="E168" s="1" t="n">
        <v>46314</v>
      </c>
      <c r="F168" t="inlineStr">
        <is>
          <t>ÖSTERGÖTLANDS LÄN</t>
        </is>
      </c>
      <c r="G168" t="inlineStr">
        <is>
          <t>MOTALA</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57992-2021</t>
        </is>
      </c>
      <c r="B169" t="inlineStr">
        <is>
          <t>avverkningsanmälan</t>
        </is>
      </c>
      <c r="C169" t="inlineStr">
        <is>
          <t>Avverkning för annat ändamål</t>
        </is>
      </c>
      <c r="D169" s="1" t="n">
        <v>44487</v>
      </c>
      <c r="E169" s="1" t="n">
        <v>46314</v>
      </c>
      <c r="F169" t="inlineStr">
        <is>
          <t>ÖSTERGÖTLANDS LÄN</t>
        </is>
      </c>
      <c r="G169" t="inlineStr">
        <is>
          <t>MOTALA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6990-2023</t>
        </is>
      </c>
      <c r="B170" t="inlineStr">
        <is>
          <t>avverkningsanmälan</t>
        </is>
      </c>
      <c r="C170" t="inlineStr">
        <is>
          <t>Föryngringsavverkning</t>
        </is>
      </c>
      <c r="D170" s="1" t="n">
        <v>44967</v>
      </c>
      <c r="E170" s="1" t="n">
        <v>46314</v>
      </c>
      <c r="F170" t="inlineStr">
        <is>
          <t>ÖSTERGÖTLANDS LÄN</t>
        </is>
      </c>
      <c r="G170" t="inlineStr">
        <is>
          <t>MOTALA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6992-2023</t>
        </is>
      </c>
      <c r="B171" t="inlineStr">
        <is>
          <t>avverkningsanmälan</t>
        </is>
      </c>
      <c r="C171" t="inlineStr">
        <is>
          <t>Föryngringsavverkning</t>
        </is>
      </c>
      <c r="D171" s="1" t="n">
        <v>44967</v>
      </c>
      <c r="E171" s="1" t="n">
        <v>46314</v>
      </c>
      <c r="F171" t="inlineStr">
        <is>
          <t>ÖSTERGÖTLANDS LÄN</t>
        </is>
      </c>
      <c r="G171" t="inlineStr">
        <is>
          <t>MOTALA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39229-2025</t>
        </is>
      </c>
      <c r="B172" t="inlineStr">
        <is>
          <t>avverkningsanmälan</t>
        </is>
      </c>
      <c r="C172" t="inlineStr">
        <is>
          <t>Föryngringsavverkning</t>
        </is>
      </c>
      <c r="D172" s="1" t="n">
        <v>45889</v>
      </c>
      <c r="E172" s="1" t="n">
        <v>46314</v>
      </c>
      <c r="F172" t="inlineStr">
        <is>
          <t>ÖSTERGÖTLANDS LÄN</t>
        </is>
      </c>
      <c r="G172" t="inlineStr">
        <is>
          <t>MOTALA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50082-2022</t>
        </is>
      </c>
      <c r="B173" t="inlineStr">
        <is>
          <t>avverkningsanmälan</t>
        </is>
      </c>
      <c r="C173" t="inlineStr">
        <is>
          <t>Föryngringsavverkning</t>
        </is>
      </c>
      <c r="D173" s="1" t="n">
        <v>44865</v>
      </c>
      <c r="E173" s="1" t="n">
        <v>46314</v>
      </c>
      <c r="F173" t="inlineStr">
        <is>
          <t>ÖSTERGÖTLANDS LÄN</t>
        </is>
      </c>
      <c r="G173" t="inlineStr">
        <is>
          <t>MOTALA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60610-2022</t>
        </is>
      </c>
      <c r="B174" t="inlineStr">
        <is>
          <t>avverkningsanmälan</t>
        </is>
      </c>
      <c r="C174" t="inlineStr">
        <is>
          <t>Föryngringsavverkning</t>
        </is>
      </c>
      <c r="D174" s="1" t="n">
        <v>44911</v>
      </c>
      <c r="E174" s="1" t="n">
        <v>46314</v>
      </c>
      <c r="F174" t="inlineStr">
        <is>
          <t>ÖSTERGÖTLANDS LÄN</t>
        </is>
      </c>
      <c r="G174" t="inlineStr">
        <is>
          <t>MOTALA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55395-2022</t>
        </is>
      </c>
      <c r="B175" t="inlineStr">
        <is>
          <t>avverkningsanmälan</t>
        </is>
      </c>
      <c r="C175" t="inlineStr">
        <is>
          <t>Föryngringsavverkning</t>
        </is>
      </c>
      <c r="D175" s="1" t="n">
        <v>44887</v>
      </c>
      <c r="E175" s="1" t="n">
        <v>46314</v>
      </c>
      <c r="F175" t="inlineStr">
        <is>
          <t>ÖSTERGÖTLANDS LÄN</t>
        </is>
      </c>
      <c r="G175" t="inlineStr">
        <is>
          <t>MOTALA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1301-2023</t>
        </is>
      </c>
      <c r="B176" t="inlineStr">
        <is>
          <t>avverkningsanmälan</t>
        </is>
      </c>
      <c r="C176" t="inlineStr">
        <is>
          <t>Föryngringsavverkning</t>
        </is>
      </c>
      <c r="D176" s="1" t="n">
        <v>44931</v>
      </c>
      <c r="E176" s="1" t="n">
        <v>46314</v>
      </c>
      <c r="F176" t="inlineStr">
        <is>
          <t>ÖSTERGÖTLANDS LÄN</t>
        </is>
      </c>
      <c r="G176" t="inlineStr">
        <is>
          <t>MOTALA</t>
        </is>
      </c>
      <c r="H176" t="inlineStr">
        <is>
          <t>Övriga statliga verk och myndigheter</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28202-2023</t>
        </is>
      </c>
      <c r="B177" t="inlineStr">
        <is>
          <t>avverkningsanmälan</t>
        </is>
      </c>
      <c r="C177" t="inlineStr">
        <is>
          <t>Föryngringsavverkning</t>
        </is>
      </c>
      <c r="D177" s="1" t="n">
        <v>45099</v>
      </c>
      <c r="E177" s="1" t="n">
        <v>46314</v>
      </c>
      <c r="F177" t="inlineStr">
        <is>
          <t>ÖSTERGÖTLANDS LÄN</t>
        </is>
      </c>
      <c r="G177" t="inlineStr">
        <is>
          <t>MOTALA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32889-2025</t>
        </is>
      </c>
      <c r="B178" t="inlineStr">
        <is>
          <t>avverkningsanmälan</t>
        </is>
      </c>
      <c r="C178" t="inlineStr">
        <is>
          <t>Föryngringsavverkning</t>
        </is>
      </c>
      <c r="D178" s="1" t="n">
        <v>45839</v>
      </c>
      <c r="E178" s="1" t="n">
        <v>46314</v>
      </c>
      <c r="F178" t="inlineStr">
        <is>
          <t>ÖSTERGÖTLANDS LÄN</t>
        </is>
      </c>
      <c r="G178" t="inlineStr">
        <is>
          <t>MOTALA</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5773-2024</t>
        </is>
      </c>
      <c r="B179" t="inlineStr">
        <is>
          <t>avverkningsanmälan</t>
        </is>
      </c>
      <c r="C179" t="inlineStr">
        <is>
          <t>Föryngringsavverkning</t>
        </is>
      </c>
      <c r="D179" s="1" t="n">
        <v>45335</v>
      </c>
      <c r="E179" s="1" t="n">
        <v>46314</v>
      </c>
      <c r="F179" t="inlineStr">
        <is>
          <t>ÖSTERGÖTLANDS LÄN</t>
        </is>
      </c>
      <c r="G179" t="inlineStr">
        <is>
          <t>MOTALA</t>
        </is>
      </c>
      <c r="H179" t="inlineStr">
        <is>
          <t>Sveaskog</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22108-2023</t>
        </is>
      </c>
      <c r="B180" t="inlineStr">
        <is>
          <t>avverkningsanmälan</t>
        </is>
      </c>
      <c r="C180" t="inlineStr">
        <is>
          <t>Föryngringsavverkning</t>
        </is>
      </c>
      <c r="D180" s="1" t="n">
        <v>45069</v>
      </c>
      <c r="E180" s="1" t="n">
        <v>46314</v>
      </c>
      <c r="F180" t="inlineStr">
        <is>
          <t>ÖSTERGÖTLANDS LÄN</t>
        </is>
      </c>
      <c r="G180" t="inlineStr">
        <is>
          <t>MOTALA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40995-2025</t>
        </is>
      </c>
      <c r="B181" t="inlineStr">
        <is>
          <t>avverkningsanmälan</t>
        </is>
      </c>
      <c r="C181" t="inlineStr">
        <is>
          <t>Föryngringsavverkning</t>
        </is>
      </c>
      <c r="D181" s="1" t="n">
        <v>45898</v>
      </c>
      <c r="E181" s="1" t="n">
        <v>46314</v>
      </c>
      <c r="F181" t="inlineStr">
        <is>
          <t>ÖSTERGÖTLANDS LÄN</t>
        </is>
      </c>
      <c r="G181" t="inlineStr">
        <is>
          <t>MOTALA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41009-2025</t>
        </is>
      </c>
      <c r="B182" t="inlineStr">
        <is>
          <t>avverkningsanmälan</t>
        </is>
      </c>
      <c r="C182" t="inlineStr">
        <is>
          <t>Föryngringsavverkning</t>
        </is>
      </c>
      <c r="D182" s="1" t="n">
        <v>45898</v>
      </c>
      <c r="E182" s="1" t="n">
        <v>46314</v>
      </c>
      <c r="F182" t="inlineStr">
        <is>
          <t>ÖSTERGÖTLANDS LÄN</t>
        </is>
      </c>
      <c r="G182" t="inlineStr">
        <is>
          <t>MOTALA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21046-2024</t>
        </is>
      </c>
      <c r="B183" t="inlineStr">
        <is>
          <t>avverkningsanmälan</t>
        </is>
      </c>
      <c r="C183" t="inlineStr">
        <is>
          <t>Föryngringsavverkning</t>
        </is>
      </c>
      <c r="D183" s="1" t="n">
        <v>45439</v>
      </c>
      <c r="E183" s="1" t="n">
        <v>46314</v>
      </c>
      <c r="F183" t="inlineStr">
        <is>
          <t>ÖSTERGÖTLANDS LÄN</t>
        </is>
      </c>
      <c r="G183" t="inlineStr">
        <is>
          <t>MOTALA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50180-2023</t>
        </is>
      </c>
      <c r="B184" t="inlineStr">
        <is>
          <t>avverkningsanmälan</t>
        </is>
      </c>
      <c r="C184" t="inlineStr">
        <is>
          <t>Föryngringsavverkning</t>
        </is>
      </c>
      <c r="D184" s="1" t="n">
        <v>45215</v>
      </c>
      <c r="E184" s="1" t="n">
        <v>46314</v>
      </c>
      <c r="F184" t="inlineStr">
        <is>
          <t>ÖSTERGÖTLANDS LÄN</t>
        </is>
      </c>
      <c r="G184" t="inlineStr">
        <is>
          <t>MOTALA</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50126-2023</t>
        </is>
      </c>
      <c r="B185" t="inlineStr">
        <is>
          <t>avverkningsanmälan</t>
        </is>
      </c>
      <c r="C185" t="inlineStr">
        <is>
          <t>Föryngringsavverkning</t>
        </is>
      </c>
      <c r="D185" s="1" t="n">
        <v>45215</v>
      </c>
      <c r="E185" s="1" t="n">
        <v>46314</v>
      </c>
      <c r="F185" t="inlineStr">
        <is>
          <t>ÖSTERGÖTLANDS LÄN</t>
        </is>
      </c>
      <c r="G185" t="inlineStr">
        <is>
          <t>MOTALA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20815-2026</t>
        </is>
      </c>
      <c r="B186" t="inlineStr">
        <is>
          <t>avverkningsanmälan</t>
        </is>
      </c>
      <c r="C186" t="inlineStr">
        <is>
          <t>Avverkning för annat ändamål</t>
        </is>
      </c>
      <c r="D186" s="1" t="n">
        <v>46141</v>
      </c>
      <c r="E186" s="1" t="n">
        <v>46314</v>
      </c>
      <c r="F186" t="inlineStr">
        <is>
          <t>ÖSTERGÖTLANDS LÄN</t>
        </is>
      </c>
      <c r="G186" t="inlineStr">
        <is>
          <t>MOTALA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4743-2022</t>
        </is>
      </c>
      <c r="B187" t="inlineStr">
        <is>
          <t>avverkningsanmälan</t>
        </is>
      </c>
      <c r="C187" t="inlineStr">
        <is>
          <t>Föryngringsavverkning</t>
        </is>
      </c>
      <c r="D187" s="1" t="n">
        <v>44592</v>
      </c>
      <c r="E187" s="1" t="n">
        <v>46314</v>
      </c>
      <c r="F187" t="inlineStr">
        <is>
          <t>ÖSTERGÖTLANDS LÄN</t>
        </is>
      </c>
      <c r="G187" t="inlineStr">
        <is>
          <t>MOTALA</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45237-2024</t>
        </is>
      </c>
      <c r="B188" t="inlineStr">
        <is>
          <t>avverkningsanmälan</t>
        </is>
      </c>
      <c r="C188" t="inlineStr">
        <is>
          <t>Föryngringsavverkning</t>
        </is>
      </c>
      <c r="D188" s="1" t="n">
        <v>45575</v>
      </c>
      <c r="E188" s="1" t="n">
        <v>46314</v>
      </c>
      <c r="F188" t="inlineStr">
        <is>
          <t>ÖSTERGÖTLANDS LÄN</t>
        </is>
      </c>
      <c r="G188" t="inlineStr">
        <is>
          <t>MOTALA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20833-2026</t>
        </is>
      </c>
      <c r="B189" t="inlineStr">
        <is>
          <t>avverkningsanmälan</t>
        </is>
      </c>
      <c r="C189" t="inlineStr">
        <is>
          <t>Föryngringsavverkning</t>
        </is>
      </c>
      <c r="D189" s="1" t="n">
        <v>46142</v>
      </c>
      <c r="E189" s="1" t="n">
        <v>46314</v>
      </c>
      <c r="F189" t="inlineStr">
        <is>
          <t>ÖSTERGÖTLANDS LÄN</t>
        </is>
      </c>
      <c r="G189" t="inlineStr">
        <is>
          <t>MOTALA</t>
        </is>
      </c>
      <c r="H189" t="inlineStr">
        <is>
          <t>Sveaskog</t>
        </is>
      </c>
      <c r="I189" t="n">
        <v>20.4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20832-2026</t>
        </is>
      </c>
      <c r="B190" t="inlineStr">
        <is>
          <t>avverkningsanmälan</t>
        </is>
      </c>
      <c r="C190" t="inlineStr">
        <is>
          <t>Föryngringsavverkning</t>
        </is>
      </c>
      <c r="D190" s="1" t="n">
        <v>46142</v>
      </c>
      <c r="E190" s="1" t="n">
        <v>46314</v>
      </c>
      <c r="F190" t="inlineStr">
        <is>
          <t>ÖSTERGÖTLANDS LÄN</t>
        </is>
      </c>
      <c r="G190" t="inlineStr">
        <is>
          <t>MOTALA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20834-2026</t>
        </is>
      </c>
      <c r="B191" t="inlineStr">
        <is>
          <t>avverkningsanmälan</t>
        </is>
      </c>
      <c r="C191" t="inlineStr">
        <is>
          <t>Föryngringsavverkning</t>
        </is>
      </c>
      <c r="D191" s="1" t="n">
        <v>46142</v>
      </c>
      <c r="E191" s="1" t="n">
        <v>46314</v>
      </c>
      <c r="F191" t="inlineStr">
        <is>
          <t>ÖSTERGÖTLANDS LÄN</t>
        </is>
      </c>
      <c r="G191" t="inlineStr">
        <is>
          <t>MOTALA</t>
        </is>
      </c>
      <c r="H191" t="inlineStr">
        <is>
          <t>Sveaskog</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54125-2022</t>
        </is>
      </c>
      <c r="B192" t="inlineStr">
        <is>
          <t>avverkningsanmälan</t>
        </is>
      </c>
      <c r="C192" t="inlineStr">
        <is>
          <t>Föryngringsavverkning</t>
        </is>
      </c>
      <c r="D192" s="1" t="n">
        <v>44881</v>
      </c>
      <c r="E192" s="1" t="n">
        <v>46314</v>
      </c>
      <c r="F192" t="inlineStr">
        <is>
          <t>ÖSTERGÖTLANDS LÄN</t>
        </is>
      </c>
      <c r="G192" t="inlineStr">
        <is>
          <t>MOTALA</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45790-2025</t>
        </is>
      </c>
      <c r="B193" t="inlineStr">
        <is>
          <t>avverkningsanmälan</t>
        </is>
      </c>
      <c r="C193" t="inlineStr">
        <is>
          <t>Föryngringsavverkning</t>
        </is>
      </c>
      <c r="D193" s="1" t="n">
        <v>45923</v>
      </c>
      <c r="E193" s="1" t="n">
        <v>46314</v>
      </c>
      <c r="F193" t="inlineStr">
        <is>
          <t>ÖSTERGÖTLANDS LÄN</t>
        </is>
      </c>
      <c r="G193" t="inlineStr">
        <is>
          <t>MOTALA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55025-2024</t>
        </is>
      </c>
      <c r="B194" t="inlineStr">
        <is>
          <t>avverkningsanmälan</t>
        </is>
      </c>
      <c r="C194" t="inlineStr">
        <is>
          <t>Föryngringsavverkning</t>
        </is>
      </c>
      <c r="D194" s="1" t="n">
        <v>45621</v>
      </c>
      <c r="E194" s="1" t="n">
        <v>46314</v>
      </c>
      <c r="F194" t="inlineStr">
        <is>
          <t>ÖSTERGÖTLANDS LÄN</t>
        </is>
      </c>
      <c r="G194" t="inlineStr">
        <is>
          <t>MOTALA</t>
        </is>
      </c>
      <c r="H194" t="inlineStr">
        <is>
          <t>Sveaskog</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41-2025</t>
        </is>
      </c>
      <c r="B195" t="inlineStr">
        <is>
          <t>avverkningsanmälan</t>
        </is>
      </c>
      <c r="C195" t="inlineStr">
        <is>
          <t>Föryngringsavverkning</t>
        </is>
      </c>
      <c r="D195" s="1" t="n">
        <v>45659</v>
      </c>
      <c r="E195" s="1" t="n">
        <v>46314</v>
      </c>
      <c r="F195" t="inlineStr">
        <is>
          <t>ÖSTERGÖTLANDS LÄN</t>
        </is>
      </c>
      <c r="G195" t="inlineStr">
        <is>
          <t>MOTALA</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64186-2023</t>
        </is>
      </c>
      <c r="B196" t="inlineStr">
        <is>
          <t>avverkningsanmälan</t>
        </is>
      </c>
      <c r="C196" t="inlineStr">
        <is>
          <t>Föryngringsavverkning</t>
        </is>
      </c>
      <c r="D196" s="1" t="n">
        <v>45279</v>
      </c>
      <c r="E196" s="1" t="n">
        <v>46314</v>
      </c>
      <c r="F196" t="inlineStr">
        <is>
          <t>ÖSTERGÖTLANDS LÄN</t>
        </is>
      </c>
      <c r="G196" t="inlineStr">
        <is>
          <t>MOTALA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48684-2024</t>
        </is>
      </c>
      <c r="B197" t="inlineStr">
        <is>
          <t>avverkningsanmälan</t>
        </is>
      </c>
      <c r="C197" t="inlineStr">
        <is>
          <t>Föryngringsavverkning</t>
        </is>
      </c>
      <c r="D197" s="1" t="n">
        <v>45593</v>
      </c>
      <c r="E197" s="1" t="n">
        <v>46314</v>
      </c>
      <c r="F197" t="inlineStr">
        <is>
          <t>ÖSTERGÖTLANDS LÄN</t>
        </is>
      </c>
      <c r="G197" t="inlineStr">
        <is>
          <t>MOTALA</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47278-2025</t>
        </is>
      </c>
      <c r="B198" t="inlineStr">
        <is>
          <t>avverkningsanmälan</t>
        </is>
      </c>
      <c r="C198" t="inlineStr">
        <is>
          <t>Föryngringsavverkning</t>
        </is>
      </c>
      <c r="D198" s="1" t="n">
        <v>45930</v>
      </c>
      <c r="E198" s="1" t="n">
        <v>46314</v>
      </c>
      <c r="F198" t="inlineStr">
        <is>
          <t>ÖSTERGÖTLANDS LÄN</t>
        </is>
      </c>
      <c r="G198" t="inlineStr">
        <is>
          <t>MOTALA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47282-2025</t>
        </is>
      </c>
      <c r="B199" t="inlineStr">
        <is>
          <t>avverkningsanmälan</t>
        </is>
      </c>
      <c r="C199" t="inlineStr">
        <is>
          <t>Föryngringsavverkning</t>
        </is>
      </c>
      <c r="D199" s="1" t="n">
        <v>45930</v>
      </c>
      <c r="E199" s="1" t="n">
        <v>46314</v>
      </c>
      <c r="F199" t="inlineStr">
        <is>
          <t>ÖSTERGÖTLANDS LÄN</t>
        </is>
      </c>
      <c r="G199" t="inlineStr">
        <is>
          <t>MOTALA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47351-2025</t>
        </is>
      </c>
      <c r="B200" t="inlineStr">
        <is>
          <t>avverkningsanmälan</t>
        </is>
      </c>
      <c r="C200" t="inlineStr">
        <is>
          <t>Föryngringsavverkning</t>
        </is>
      </c>
      <c r="D200" s="1" t="n">
        <v>45930</v>
      </c>
      <c r="E200" s="1" t="n">
        <v>46314</v>
      </c>
      <c r="F200" t="inlineStr">
        <is>
          <t>ÖSTERGÖTLANDS LÄN</t>
        </is>
      </c>
      <c r="G200" t="inlineStr">
        <is>
          <t>MOTALA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47359-2025</t>
        </is>
      </c>
      <c r="B201" t="inlineStr">
        <is>
          <t>avverkningsanmälan</t>
        </is>
      </c>
      <c r="C201" t="inlineStr">
        <is>
          <t>Föryngringsavverkning</t>
        </is>
      </c>
      <c r="D201" s="1" t="n">
        <v>45930</v>
      </c>
      <c r="E201" s="1" t="n">
        <v>46314</v>
      </c>
      <c r="F201" t="inlineStr">
        <is>
          <t>ÖSTERGÖTLANDS LÄN</t>
        </is>
      </c>
      <c r="G201" t="inlineStr">
        <is>
          <t>MOTALA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47362-2025</t>
        </is>
      </c>
      <c r="B202" t="inlineStr">
        <is>
          <t>avverkningsanmälan</t>
        </is>
      </c>
      <c r="C202" t="inlineStr">
        <is>
          <t>Föryngringsavverkning</t>
        </is>
      </c>
      <c r="D202" s="1" t="n">
        <v>45930</v>
      </c>
      <c r="E202" s="1" t="n">
        <v>46314</v>
      </c>
      <c r="F202" t="inlineStr">
        <is>
          <t>ÖSTERGÖTLANDS LÄN</t>
        </is>
      </c>
      <c r="G202" t="inlineStr">
        <is>
          <t>MOTALA</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31753-2022</t>
        </is>
      </c>
      <c r="B203" t="inlineStr">
        <is>
          <t>avverkningsanmälan</t>
        </is>
      </c>
      <c r="C203" t="inlineStr">
        <is>
          <t>Föryngringsavverkning</t>
        </is>
      </c>
      <c r="D203" s="1" t="n">
        <v>44776</v>
      </c>
      <c r="E203" s="1" t="n">
        <v>46314</v>
      </c>
      <c r="F203" t="inlineStr">
        <is>
          <t>ÖSTERGÖTLANDS LÄN</t>
        </is>
      </c>
      <c r="G203" t="inlineStr">
        <is>
          <t>MOTALA</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47326-2025</t>
        </is>
      </c>
      <c r="B204" t="inlineStr">
        <is>
          <t>avverkningsanmälan</t>
        </is>
      </c>
      <c r="C204" t="inlineStr">
        <is>
          <t>Föryngringsavverkning</t>
        </is>
      </c>
      <c r="D204" s="1" t="n">
        <v>45930</v>
      </c>
      <c r="E204" s="1" t="n">
        <v>46314</v>
      </c>
      <c r="F204" t="inlineStr">
        <is>
          <t>ÖSTERGÖTLANDS LÄN</t>
        </is>
      </c>
      <c r="G204" t="inlineStr">
        <is>
          <t>MOTALA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47381-2025</t>
        </is>
      </c>
      <c r="B205" t="inlineStr">
        <is>
          <t>avverkningsanmälan</t>
        </is>
      </c>
      <c r="C205" t="inlineStr">
        <is>
          <t>Föryngringsavverkning</t>
        </is>
      </c>
      <c r="D205" s="1" t="n">
        <v>45930</v>
      </c>
      <c r="E205" s="1" t="n">
        <v>46314</v>
      </c>
      <c r="F205" t="inlineStr">
        <is>
          <t>ÖSTERGÖTLANDS LÄN</t>
        </is>
      </c>
      <c r="G205" t="inlineStr">
        <is>
          <t>MOTALA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47369-2025</t>
        </is>
      </c>
      <c r="B206" t="inlineStr">
        <is>
          <t>avverkningsanmälan</t>
        </is>
      </c>
      <c r="C206" t="inlineStr">
        <is>
          <t>Föryngringsavverkning</t>
        </is>
      </c>
      <c r="D206" s="1" t="n">
        <v>45930</v>
      </c>
      <c r="E206" s="1" t="n">
        <v>46314</v>
      </c>
      <c r="F206" t="inlineStr">
        <is>
          <t>ÖSTERGÖTLANDS LÄN</t>
        </is>
      </c>
      <c r="G206" t="inlineStr">
        <is>
          <t>MOTALA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3711-2023</t>
        </is>
      </c>
      <c r="B207" t="inlineStr">
        <is>
          <t>avverkningsanmälan</t>
        </is>
      </c>
      <c r="C207" t="inlineStr">
        <is>
          <t>Föryngringsavverkning</t>
        </is>
      </c>
      <c r="D207" s="1" t="n">
        <v>44951</v>
      </c>
      <c r="E207" s="1" t="n">
        <v>46314</v>
      </c>
      <c r="F207" t="inlineStr">
        <is>
          <t>ÖSTERGÖTLANDS LÄN</t>
        </is>
      </c>
      <c r="G207" t="inlineStr">
        <is>
          <t>MOTALA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8111-2024</t>
        </is>
      </c>
      <c r="B208" t="inlineStr">
        <is>
          <t>avverkningsanmälan</t>
        </is>
      </c>
      <c r="C208" t="inlineStr">
        <is>
          <t>Föryngringsavverkning</t>
        </is>
      </c>
      <c r="D208" s="1" t="n">
        <v>45351</v>
      </c>
      <c r="E208" s="1" t="n">
        <v>46314</v>
      </c>
      <c r="F208" t="inlineStr">
        <is>
          <t>ÖSTERGÖTLANDS LÄN</t>
        </is>
      </c>
      <c r="G208" t="inlineStr">
        <is>
          <t>MOTALA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31441-2023</t>
        </is>
      </c>
      <c r="B209" t="inlineStr">
        <is>
          <t>avverkningsanmälan</t>
        </is>
      </c>
      <c r="C209" t="inlineStr">
        <is>
          <t>Föryngringsavverkning</t>
        </is>
      </c>
      <c r="D209" s="1" t="n">
        <v>45114</v>
      </c>
      <c r="E209" s="1" t="n">
        <v>46314</v>
      </c>
      <c r="F209" t="inlineStr">
        <is>
          <t>ÖSTERGÖTLANDS LÄN</t>
        </is>
      </c>
      <c r="G209" t="inlineStr">
        <is>
          <t>MOTALA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49456-2025</t>
        </is>
      </c>
      <c r="B210" t="inlineStr">
        <is>
          <t>avverkningsanmälan</t>
        </is>
      </c>
      <c r="C210" t="inlineStr">
        <is>
          <t>Föryngringsavverkning</t>
        </is>
      </c>
      <c r="D210" s="1" t="n">
        <v>45939</v>
      </c>
      <c r="E210" s="1" t="n">
        <v>46314</v>
      </c>
      <c r="F210" t="inlineStr">
        <is>
          <t>ÖSTERGÖTLANDS LÄN</t>
        </is>
      </c>
      <c r="G210" t="inlineStr">
        <is>
          <t>MOTALA</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49147-2025</t>
        </is>
      </c>
      <c r="B211" t="inlineStr">
        <is>
          <t>avverkningsanmälan</t>
        </is>
      </c>
      <c r="C211" t="inlineStr">
        <is>
          <t>Föryngringsavverkning</t>
        </is>
      </c>
      <c r="D211" s="1" t="n">
        <v>45938</v>
      </c>
      <c r="E211" s="1" t="n">
        <v>46314</v>
      </c>
      <c r="F211" t="inlineStr">
        <is>
          <t>ÖSTERGÖTLANDS LÄN</t>
        </is>
      </c>
      <c r="G211" t="inlineStr">
        <is>
          <t>MOTALA</t>
        </is>
      </c>
      <c r="H211" t="inlineStr">
        <is>
          <t>Sveaskog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49149-2025</t>
        </is>
      </c>
      <c r="B212" t="inlineStr">
        <is>
          <t>avverkningsanmälan</t>
        </is>
      </c>
      <c r="C212" t="inlineStr">
        <is>
          <t>Föryngringsavverkning</t>
        </is>
      </c>
      <c r="D212" s="1" t="n">
        <v>45938</v>
      </c>
      <c r="E212" s="1" t="n">
        <v>46314</v>
      </c>
      <c r="F212" t="inlineStr">
        <is>
          <t>ÖSTERGÖTLANDS LÄN</t>
        </is>
      </c>
      <c r="G212" t="inlineStr">
        <is>
          <t>MOTALA</t>
        </is>
      </c>
      <c r="H212" t="inlineStr">
        <is>
          <t>Sveaskog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24701-2024</t>
        </is>
      </c>
      <c r="B213" t="inlineStr">
        <is>
          <t>avverkningsanmälan</t>
        </is>
      </c>
      <c r="C213" t="inlineStr">
        <is>
          <t>Föryngringsavverkning</t>
        </is>
      </c>
      <c r="D213" s="1" t="n">
        <v>45460</v>
      </c>
      <c r="E213" s="1" t="n">
        <v>46314</v>
      </c>
      <c r="F213" t="inlineStr">
        <is>
          <t>ÖSTERGÖTLANDS LÄN</t>
        </is>
      </c>
      <c r="G213" t="inlineStr">
        <is>
          <t>MOTALA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50514-2025</t>
        </is>
      </c>
      <c r="B214" t="inlineStr">
        <is>
          <t>avverkningsanmälan</t>
        </is>
      </c>
      <c r="C214" t="inlineStr">
        <is>
          <t>Föryngringsavverkning</t>
        </is>
      </c>
      <c r="D214" s="1" t="n">
        <v>45945</v>
      </c>
      <c r="E214" s="1" t="n">
        <v>46314</v>
      </c>
      <c r="F214" t="inlineStr">
        <is>
          <t>ÖSTERGÖTLANDS LÄN</t>
        </is>
      </c>
      <c r="G214" t="inlineStr">
        <is>
          <t>MOTALA</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50786-2025</t>
        </is>
      </c>
      <c r="B215" t="inlineStr">
        <is>
          <t>avverkningsanmälan</t>
        </is>
      </c>
      <c r="C215" t="inlineStr">
        <is>
          <t>Föryngringsavverkning</t>
        </is>
      </c>
      <c r="D215" s="1" t="n">
        <v>45946</v>
      </c>
      <c r="E215" s="1" t="n">
        <v>46314</v>
      </c>
      <c r="F215" t="inlineStr">
        <is>
          <t>ÖSTERGÖTLANDS LÄN</t>
        </is>
      </c>
      <c r="G215" t="inlineStr">
        <is>
          <t>MOTALA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22113-2023</t>
        </is>
      </c>
      <c r="B216" t="inlineStr">
        <is>
          <t>avverkningsanmälan</t>
        </is>
      </c>
      <c r="C216" t="inlineStr">
        <is>
          <t>Föryngringsavverkning</t>
        </is>
      </c>
      <c r="D216" s="1" t="n">
        <v>45069</v>
      </c>
      <c r="E216" s="1" t="n">
        <v>46314</v>
      </c>
      <c r="F216" t="inlineStr">
        <is>
          <t>ÖSTERGÖTLANDS LÄN</t>
        </is>
      </c>
      <c r="G216" t="inlineStr">
        <is>
          <t>MOTALA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27161-2025</t>
        </is>
      </c>
      <c r="B217" t="inlineStr">
        <is>
          <t>avverkningsanmälan</t>
        </is>
      </c>
      <c r="C217" t="inlineStr">
        <is>
          <t>Föryngringsavverkning</t>
        </is>
      </c>
      <c r="D217" s="1" t="n">
        <v>45812</v>
      </c>
      <c r="E217" s="1" t="n">
        <v>46314</v>
      </c>
      <c r="F217" t="inlineStr">
        <is>
          <t>ÖSTERGÖTLANDS LÄN</t>
        </is>
      </c>
      <c r="G217" t="inlineStr">
        <is>
          <t>MOTALA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53820-2024</t>
        </is>
      </c>
      <c r="B218" t="inlineStr">
        <is>
          <t>avverkningsanmälan</t>
        </is>
      </c>
      <c r="C218" t="inlineStr">
        <is>
          <t>Föryngringsavverkning</t>
        </is>
      </c>
      <c r="D218" s="1" t="n">
        <v>45615</v>
      </c>
      <c r="E218" s="1" t="n">
        <v>46314</v>
      </c>
      <c r="F218" t="inlineStr">
        <is>
          <t>ÖSTERGÖTLANDS LÄN</t>
        </is>
      </c>
      <c r="G218" t="inlineStr">
        <is>
          <t>MOTALA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27220-2023</t>
        </is>
      </c>
      <c r="B219" t="inlineStr">
        <is>
          <t>avverkningsanmälan</t>
        </is>
      </c>
      <c r="C219" t="inlineStr">
        <is>
          <t>Föryngringsavverkning</t>
        </is>
      </c>
      <c r="D219" s="1" t="n">
        <v>45092</v>
      </c>
      <c r="E219" s="1" t="n">
        <v>46314</v>
      </c>
      <c r="F219" t="inlineStr">
        <is>
          <t>ÖSTERGÖTLANDS LÄN</t>
        </is>
      </c>
      <c r="G219" t="inlineStr">
        <is>
          <t>MOTALA</t>
        </is>
      </c>
      <c r="H219" t="inlineStr">
        <is>
          <t>Övriga statliga verk och myndigheter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57710-2023</t>
        </is>
      </c>
      <c r="B220" t="inlineStr">
        <is>
          <t>avverkningsanmälan</t>
        </is>
      </c>
      <c r="C220" t="inlineStr">
        <is>
          <t>Föryngringsavverkning</t>
        </is>
      </c>
      <c r="D220" s="1" t="n">
        <v>45243</v>
      </c>
      <c r="E220" s="1" t="n">
        <v>46314</v>
      </c>
      <c r="F220" t="inlineStr">
        <is>
          <t>ÖSTERGÖTLANDS LÄN</t>
        </is>
      </c>
      <c r="G220" t="inlineStr">
        <is>
          <t>MOTALA</t>
        </is>
      </c>
      <c r="H220" t="inlineStr">
        <is>
          <t>Övriga statliga verk och myndigheter</t>
        </is>
      </c>
      <c r="I220" t="n">
        <v>12.2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29523-2024</t>
        </is>
      </c>
      <c r="B221" t="inlineStr">
        <is>
          <t>avverkningsanmälan</t>
        </is>
      </c>
      <c r="C221" t="inlineStr">
        <is>
          <t>Föryngringsavverkning</t>
        </is>
      </c>
      <c r="D221" s="1" t="n">
        <v>45484</v>
      </c>
      <c r="E221" s="1" t="n">
        <v>46314</v>
      </c>
      <c r="F221" t="inlineStr">
        <is>
          <t>ÖSTERGÖTLANDS LÄN</t>
        </is>
      </c>
      <c r="G221" t="inlineStr">
        <is>
          <t>MOTALA</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71205-2021</t>
        </is>
      </c>
      <c r="B222" t="inlineStr">
        <is>
          <t>avverkningsanmälan</t>
        </is>
      </c>
      <c r="C222" t="inlineStr">
        <is>
          <t>Föryngringsavverkning</t>
        </is>
      </c>
      <c r="D222" s="1" t="n">
        <v>44539</v>
      </c>
      <c r="E222" s="1" t="n">
        <v>46314</v>
      </c>
      <c r="F222" t="inlineStr">
        <is>
          <t>ÖSTERGÖTLANDS LÄN</t>
        </is>
      </c>
      <c r="G222" t="inlineStr">
        <is>
          <t>MOTALA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29525-2024</t>
        </is>
      </c>
      <c r="B223" t="inlineStr">
        <is>
          <t>avverkningsanmälan</t>
        </is>
      </c>
      <c r="C223" t="inlineStr">
        <is>
          <t>Föryngringsavverkning</t>
        </is>
      </c>
      <c r="D223" s="1" t="n">
        <v>45484</v>
      </c>
      <c r="E223" s="1" t="n">
        <v>46314</v>
      </c>
      <c r="F223" t="inlineStr">
        <is>
          <t>ÖSTERGÖTLANDS LÄN</t>
        </is>
      </c>
      <c r="G223" t="inlineStr">
        <is>
          <t>MOTALA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28686-2022</t>
        </is>
      </c>
      <c r="B224" t="inlineStr">
        <is>
          <t>avverkningsanmälan</t>
        </is>
      </c>
      <c r="C224" t="inlineStr">
        <is>
          <t>Föryngringsavverkning</t>
        </is>
      </c>
      <c r="D224" s="1" t="n">
        <v>44748</v>
      </c>
      <c r="E224" s="1" t="n">
        <v>46314</v>
      </c>
      <c r="F224" t="inlineStr">
        <is>
          <t>ÖSTERGÖTLANDS LÄN</t>
        </is>
      </c>
      <c r="G224" t="inlineStr">
        <is>
          <t>MOTALA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2197-2023</t>
        </is>
      </c>
      <c r="B225" t="inlineStr">
        <is>
          <t>avverkningsanmälan</t>
        </is>
      </c>
      <c r="C225" t="inlineStr">
        <is>
          <t>Föryngringsavverkning</t>
        </is>
      </c>
      <c r="D225" s="1" t="n">
        <v>44942</v>
      </c>
      <c r="E225" s="1" t="n">
        <v>46314</v>
      </c>
      <c r="F225" t="inlineStr">
        <is>
          <t>ÖSTERGÖTLANDS LÄN</t>
        </is>
      </c>
      <c r="G225" t="inlineStr">
        <is>
          <t>MOTALA</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18458-2024</t>
        </is>
      </c>
      <c r="B226" t="inlineStr">
        <is>
          <t>avverkningsanmälan</t>
        </is>
      </c>
      <c r="C226" t="inlineStr">
        <is>
          <t>Föryngringsavverkning</t>
        </is>
      </c>
      <c r="D226" s="1" t="n">
        <v>45425</v>
      </c>
      <c r="E226" s="1" t="n">
        <v>46314</v>
      </c>
      <c r="F226" t="inlineStr">
        <is>
          <t>ÖSTERGÖTLANDS LÄN</t>
        </is>
      </c>
      <c r="G226" t="inlineStr">
        <is>
          <t>MOTALA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22795-2026</t>
        </is>
      </c>
      <c r="B227" t="inlineStr">
        <is>
          <t>avverkningsanmälan</t>
        </is>
      </c>
      <c r="C227" t="inlineStr">
        <is>
          <t>Föryngringsavverkning</t>
        </is>
      </c>
      <c r="D227" s="1" t="n">
        <v>46158</v>
      </c>
      <c r="E227" s="1" t="n">
        <v>46314</v>
      </c>
      <c r="F227" t="inlineStr">
        <is>
          <t>ÖSTERGÖTLANDS LÄN</t>
        </is>
      </c>
      <c r="G227" t="inlineStr">
        <is>
          <t>MOTALA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22920-2026</t>
        </is>
      </c>
      <c r="B228" t="inlineStr">
        <is>
          <t>avverkningsanmälan</t>
        </is>
      </c>
      <c r="C228" t="inlineStr">
        <is>
          <t>Föryngringsavverkning</t>
        </is>
      </c>
      <c r="D228" s="1" t="n">
        <v>46160</v>
      </c>
      <c r="E228" s="1" t="n">
        <v>46314</v>
      </c>
      <c r="F228" t="inlineStr">
        <is>
          <t>ÖSTERGÖTLANDS LÄN</t>
        </is>
      </c>
      <c r="G228" t="inlineStr">
        <is>
          <t>MOTALA</t>
        </is>
      </c>
      <c r="H228" t="inlineStr">
        <is>
          <t>Sveaskog</t>
        </is>
      </c>
      <c r="I228" t="n">
        <v>17.1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24247-2022</t>
        </is>
      </c>
      <c r="B229" t="inlineStr">
        <is>
          <t>avverkningsanmälan</t>
        </is>
      </c>
      <c r="C229" t="inlineStr">
        <is>
          <t>Föryngringsavverkning</t>
        </is>
      </c>
      <c r="D229" s="1" t="n">
        <v>44725</v>
      </c>
      <c r="E229" s="1" t="n">
        <v>46314</v>
      </c>
      <c r="F229" t="inlineStr">
        <is>
          <t>ÖSTERGÖTLANDS LÄN</t>
        </is>
      </c>
      <c r="G229" t="inlineStr">
        <is>
          <t>MOTALA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54264-2025</t>
        </is>
      </c>
      <c r="B230" t="inlineStr">
        <is>
          <t>avverkningsanmälan</t>
        </is>
      </c>
      <c r="C230" t="inlineStr">
        <is>
          <t>Föryngringsavverkning</t>
        </is>
      </c>
      <c r="D230" s="1" t="n">
        <v>45964</v>
      </c>
      <c r="E230" s="1" t="n">
        <v>46314</v>
      </c>
      <c r="F230" t="inlineStr">
        <is>
          <t>ÖSTERGÖTLANDS LÄN</t>
        </is>
      </c>
      <c r="G230" t="inlineStr">
        <is>
          <t>MOTALA</t>
        </is>
      </c>
      <c r="H230" t="inlineStr">
        <is>
          <t>Sveaskog</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51092-2024</t>
        </is>
      </c>
      <c r="B231" t="inlineStr">
        <is>
          <t>avverkningsanmälan</t>
        </is>
      </c>
      <c r="C231" t="inlineStr">
        <is>
          <t>Föryngringsavverkning</t>
        </is>
      </c>
      <c r="D231" s="1" t="n">
        <v>45603</v>
      </c>
      <c r="E231" s="1" t="n">
        <v>46314</v>
      </c>
      <c r="F231" t="inlineStr">
        <is>
          <t>ÖSTERGÖTLANDS LÄN</t>
        </is>
      </c>
      <c r="G231" t="inlineStr">
        <is>
          <t>MOTALA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54568-2025</t>
        </is>
      </c>
      <c r="B232" t="inlineStr">
        <is>
          <t>avverkningsanmälan</t>
        </is>
      </c>
      <c r="C232" t="inlineStr">
        <is>
          <t>Föryngringsavverkning</t>
        </is>
      </c>
      <c r="D232" s="1" t="n">
        <v>45965</v>
      </c>
      <c r="E232" s="1" t="n">
        <v>46314</v>
      </c>
      <c r="F232" t="inlineStr">
        <is>
          <t>ÖSTERGÖTLANDS LÄN</t>
        </is>
      </c>
      <c r="G232" t="inlineStr">
        <is>
          <t>MOTALA</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54171-2025</t>
        </is>
      </c>
      <c r="B233" t="inlineStr">
        <is>
          <t>avverkningsanmälan</t>
        </is>
      </c>
      <c r="C233" t="inlineStr">
        <is>
          <t>Föryngringsavverkning</t>
        </is>
      </c>
      <c r="D233" s="1" t="n">
        <v>45964</v>
      </c>
      <c r="E233" s="1" t="n">
        <v>46314</v>
      </c>
      <c r="F233" t="inlineStr">
        <is>
          <t>ÖSTERGÖTLANDS LÄN</t>
        </is>
      </c>
      <c r="G233" t="inlineStr">
        <is>
          <t>MOTALA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18921-2024</t>
        </is>
      </c>
      <c r="B234" t="inlineStr">
        <is>
          <t>avverkningsanmälan</t>
        </is>
      </c>
      <c r="C234" t="inlineStr">
        <is>
          <t>Föryngringsavverkning</t>
        </is>
      </c>
      <c r="D234" s="1" t="n">
        <v>45427</v>
      </c>
      <c r="E234" s="1" t="n">
        <v>46314</v>
      </c>
      <c r="F234" t="inlineStr">
        <is>
          <t>ÖSTERGÖTLANDS LÄN</t>
        </is>
      </c>
      <c r="G234" t="inlineStr">
        <is>
          <t>MOTALA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5073-2023</t>
        </is>
      </c>
      <c r="B235" t="inlineStr">
        <is>
          <t>avverkningsanmälan</t>
        </is>
      </c>
      <c r="C235" t="inlineStr">
        <is>
          <t>Föryngringsavverkning</t>
        </is>
      </c>
      <c r="D235" s="1" t="n">
        <v>44958</v>
      </c>
      <c r="E235" s="1" t="n">
        <v>46314</v>
      </c>
      <c r="F235" t="inlineStr">
        <is>
          <t>ÖSTERGÖTLANDS LÄN</t>
        </is>
      </c>
      <c r="G235" t="inlineStr">
        <is>
          <t>MOTALA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28194-2023</t>
        </is>
      </c>
      <c r="B236" t="inlineStr">
        <is>
          <t>avverkningsanmälan</t>
        </is>
      </c>
      <c r="C236" t="inlineStr">
        <is>
          <t>Föryngringsavverkning</t>
        </is>
      </c>
      <c r="D236" s="1" t="n">
        <v>45099</v>
      </c>
      <c r="E236" s="1" t="n">
        <v>46314</v>
      </c>
      <c r="F236" t="inlineStr">
        <is>
          <t>ÖSTERGÖTLANDS LÄN</t>
        </is>
      </c>
      <c r="G236" t="inlineStr">
        <is>
          <t>MOTALA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22831-2026</t>
        </is>
      </c>
      <c r="B237" t="inlineStr">
        <is>
          <t>avverkningsanmälan</t>
        </is>
      </c>
      <c r="C237" t="inlineStr">
        <is>
          <t>Föryngringsavverkning</t>
        </is>
      </c>
      <c r="D237" s="1" t="n">
        <v>46160</v>
      </c>
      <c r="E237" s="1" t="n">
        <v>46314</v>
      </c>
      <c r="F237" t="inlineStr">
        <is>
          <t>ÖSTERGÖTLANDS LÄN</t>
        </is>
      </c>
      <c r="G237" t="inlineStr">
        <is>
          <t>MOTALA</t>
        </is>
      </c>
      <c r="H237" t="inlineStr">
        <is>
          <t>Holmen skog AB</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22921-2026</t>
        </is>
      </c>
      <c r="B238" t="inlineStr">
        <is>
          <t>avverkningsanmälan</t>
        </is>
      </c>
      <c r="C238" t="inlineStr">
        <is>
          <t>Föryngringsavverkning</t>
        </is>
      </c>
      <c r="D238" s="1" t="n">
        <v>46160</v>
      </c>
      <c r="E238" s="1" t="n">
        <v>46314</v>
      </c>
      <c r="F238" t="inlineStr">
        <is>
          <t>ÖSTERGÖTLANDS LÄN</t>
        </is>
      </c>
      <c r="G238" t="inlineStr">
        <is>
          <t>MOTALA</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22940-2026</t>
        </is>
      </c>
      <c r="B239" t="inlineStr">
        <is>
          <t>avverkningsanmälan</t>
        </is>
      </c>
      <c r="C239" t="inlineStr">
        <is>
          <t>Föryngringsavverkning</t>
        </is>
      </c>
      <c r="D239" s="1" t="n">
        <v>46160</v>
      </c>
      <c r="E239" s="1" t="n">
        <v>46314</v>
      </c>
      <c r="F239" t="inlineStr">
        <is>
          <t>ÖSTERGÖTLANDS LÄN</t>
        </is>
      </c>
      <c r="G239" t="inlineStr">
        <is>
          <t>MOTALA</t>
        </is>
      </c>
      <c r="H239" t="inlineStr">
        <is>
          <t>Holmen skog AB</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23430-2026</t>
        </is>
      </c>
      <c r="B240" t="inlineStr">
        <is>
          <t>avverkningsanmälan</t>
        </is>
      </c>
      <c r="C240" t="inlineStr">
        <is>
          <t>Föryngringsavverkning</t>
        </is>
      </c>
      <c r="D240" s="1" t="n">
        <v>46163</v>
      </c>
      <c r="E240" s="1" t="n">
        <v>46314</v>
      </c>
      <c r="F240" t="inlineStr">
        <is>
          <t>ÖSTERGÖTLANDS LÄN</t>
        </is>
      </c>
      <c r="G240" t="inlineStr">
        <is>
          <t>MOTALA</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56325-2024</t>
        </is>
      </c>
      <c r="B241" t="inlineStr">
        <is>
          <t>avverkningsanmälan</t>
        </is>
      </c>
      <c r="C241" t="inlineStr">
        <is>
          <t>Föryngringsavverkning</t>
        </is>
      </c>
      <c r="D241" s="1" t="n">
        <v>45624</v>
      </c>
      <c r="E241" s="1" t="n">
        <v>46314</v>
      </c>
      <c r="F241" t="inlineStr">
        <is>
          <t>ÖSTERGÖTLANDS LÄN</t>
        </is>
      </c>
      <c r="G241" t="inlineStr">
        <is>
          <t>MOTALA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65566-2021</t>
        </is>
      </c>
      <c r="B242" t="inlineStr">
        <is>
          <t>avverkningsanmälan</t>
        </is>
      </c>
      <c r="C242" t="inlineStr">
        <is>
          <t>Föryngringsavverkning</t>
        </is>
      </c>
      <c r="D242" s="1" t="n">
        <v>44516</v>
      </c>
      <c r="E242" s="1" t="n">
        <v>46314</v>
      </c>
      <c r="F242" t="inlineStr">
        <is>
          <t>ÖSTERGÖTLANDS LÄN</t>
        </is>
      </c>
      <c r="G242" t="inlineStr">
        <is>
          <t>MOTALA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23839-2026</t>
        </is>
      </c>
      <c r="B243" t="inlineStr">
        <is>
          <t>avverkningsanmälan</t>
        </is>
      </c>
      <c r="C243" t="inlineStr">
        <is>
          <t>Föryngringsavverkning</t>
        </is>
      </c>
      <c r="D243" s="1" t="n">
        <v>46167</v>
      </c>
      <c r="E243" s="1" t="n">
        <v>46314</v>
      </c>
      <c r="F243" t="inlineStr">
        <is>
          <t>ÖSTERGÖTLANDS LÄN</t>
        </is>
      </c>
      <c r="G243" t="inlineStr">
        <is>
          <t>MOTALA</t>
        </is>
      </c>
      <c r="H243" t="inlineStr">
        <is>
          <t>Holmen skog AB</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49249-2023</t>
        </is>
      </c>
      <c r="B244" t="inlineStr">
        <is>
          <t>avverkningsanmälan</t>
        </is>
      </c>
      <c r="C244" t="inlineStr">
        <is>
          <t>Föryngringsavverkning</t>
        </is>
      </c>
      <c r="D244" s="1" t="n">
        <v>45205</v>
      </c>
      <c r="E244" s="1" t="n">
        <v>46314</v>
      </c>
      <c r="F244" t="inlineStr">
        <is>
          <t>ÖSTERGÖTLANDS LÄN</t>
        </is>
      </c>
      <c r="G244" t="inlineStr">
        <is>
          <t>MOTALA</t>
        </is>
      </c>
      <c r="H244" t="inlineStr">
        <is>
          <t>Övriga statliga verk och myndigheter</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17008-2022</t>
        </is>
      </c>
      <c r="B245" t="inlineStr">
        <is>
          <t>avverkningsanmälan</t>
        </is>
      </c>
      <c r="C245" t="inlineStr">
        <is>
          <t>Föryngringsavverkning</t>
        </is>
      </c>
      <c r="D245" s="1" t="n">
        <v>44676</v>
      </c>
      <c r="E245" s="1" t="n">
        <v>46314</v>
      </c>
      <c r="F245" t="inlineStr">
        <is>
          <t>ÖSTERGÖTLANDS LÄN</t>
        </is>
      </c>
      <c r="G245" t="inlineStr">
        <is>
          <t>MOTALA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8724-2022</t>
        </is>
      </c>
      <c r="B246" t="inlineStr">
        <is>
          <t>avverkningsanmälan</t>
        </is>
      </c>
      <c r="C246" t="inlineStr">
        <is>
          <t>Föryngringsavverkning</t>
        </is>
      </c>
      <c r="D246" s="1" t="n">
        <v>44613</v>
      </c>
      <c r="E246" s="1" t="n">
        <v>46314</v>
      </c>
      <c r="F246" t="inlineStr">
        <is>
          <t>ÖSTERGÖTLANDS LÄN</t>
        </is>
      </c>
      <c r="G246" t="inlineStr">
        <is>
          <t>MOTALA</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185-2024</t>
        </is>
      </c>
      <c r="B247" t="inlineStr">
        <is>
          <t>avverkningsanmälan</t>
        </is>
      </c>
      <c r="C247" t="inlineStr">
        <is>
          <t>Föryngringsavverkning</t>
        </is>
      </c>
      <c r="D247" s="1" t="n">
        <v>45294</v>
      </c>
      <c r="E247" s="1" t="n">
        <v>46314</v>
      </c>
      <c r="F247" t="inlineStr">
        <is>
          <t>ÖSTERGÖTLANDS LÄN</t>
        </is>
      </c>
      <c r="G247" t="inlineStr">
        <is>
          <t>MOTALA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61938-2025</t>
        </is>
      </c>
      <c r="B248" t="inlineStr">
        <is>
          <t>avverkningsanmälan</t>
        </is>
      </c>
      <c r="C248" t="inlineStr">
        <is>
          <t>Föryngringsavverkning</t>
        </is>
      </c>
      <c r="D248" s="1" t="n">
        <v>46003</v>
      </c>
      <c r="E248" s="1" t="n">
        <v>46314</v>
      </c>
      <c r="F248" t="inlineStr">
        <is>
          <t>ÖSTERGÖTLANDS LÄN</t>
        </is>
      </c>
      <c r="G248" t="inlineStr">
        <is>
          <t>MOTALA</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60742-2025</t>
        </is>
      </c>
      <c r="B249" t="inlineStr">
        <is>
          <t>avverkningsanmälan</t>
        </is>
      </c>
      <c r="C249" t="inlineStr">
        <is>
          <t>Föryngringsavverkning</t>
        </is>
      </c>
      <c r="D249" s="1" t="n">
        <v>45998</v>
      </c>
      <c r="E249" s="1" t="n">
        <v>46314</v>
      </c>
      <c r="F249" t="inlineStr">
        <is>
          <t>ÖSTERGÖTLANDS LÄN</t>
        </is>
      </c>
      <c r="G249" t="inlineStr">
        <is>
          <t>MOTALA</t>
        </is>
      </c>
      <c r="I249" t="n">
        <v>15.9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61952-2025</t>
        </is>
      </c>
      <c r="B250" t="inlineStr">
        <is>
          <t>avverkningsanmälan</t>
        </is>
      </c>
      <c r="C250" t="inlineStr">
        <is>
          <t>Föryngringsavverkning</t>
        </is>
      </c>
      <c r="D250" s="1" t="n">
        <v>46003</v>
      </c>
      <c r="E250" s="1" t="n">
        <v>46314</v>
      </c>
      <c r="F250" t="inlineStr">
        <is>
          <t>ÖSTERGÖTLANDS LÄN</t>
        </is>
      </c>
      <c r="G250" t="inlineStr">
        <is>
          <t>MOTALA</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38878-2023</t>
        </is>
      </c>
      <c r="B251" t="inlineStr">
        <is>
          <t>avverkningsanmälan</t>
        </is>
      </c>
      <c r="C251" t="inlineStr">
        <is>
          <t>Föryngringsavverkning</t>
        </is>
      </c>
      <c r="D251" s="1" t="n">
        <v>45161</v>
      </c>
      <c r="E251" s="1" t="n">
        <v>46314</v>
      </c>
      <c r="F251" t="inlineStr">
        <is>
          <t>ÖSTERGÖTLANDS LÄN</t>
        </is>
      </c>
      <c r="G251" t="inlineStr">
        <is>
          <t>MOTALA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16452-2023</t>
        </is>
      </c>
      <c r="B252" t="inlineStr">
        <is>
          <t>avverkningsanmälan</t>
        </is>
      </c>
      <c r="C252" t="inlineStr">
        <is>
          <t>Föryngringsavverkning</t>
        </is>
      </c>
      <c r="D252" s="1" t="n">
        <v>45029</v>
      </c>
      <c r="E252" s="1" t="n">
        <v>46314</v>
      </c>
      <c r="F252" t="inlineStr">
        <is>
          <t>ÖSTERGÖTLANDS LÄN</t>
        </is>
      </c>
      <c r="G252" t="inlineStr">
        <is>
          <t>MOTALA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53438-2024</t>
        </is>
      </c>
      <c r="B253" t="inlineStr">
        <is>
          <t>avverkningsanmälan</t>
        </is>
      </c>
      <c r="C253" t="inlineStr">
        <is>
          <t>Föryngringsavverkning</t>
        </is>
      </c>
      <c r="D253" s="1" t="n">
        <v>45614</v>
      </c>
      <c r="E253" s="1" t="n">
        <v>46314</v>
      </c>
      <c r="F253" t="inlineStr">
        <is>
          <t>ÖSTERGÖTLANDS LÄN</t>
        </is>
      </c>
      <c r="G253" t="inlineStr">
        <is>
          <t>MOTALA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47905-2024</t>
        </is>
      </c>
      <c r="B254" t="inlineStr">
        <is>
          <t>avverkningsanmälan</t>
        </is>
      </c>
      <c r="C254" t="inlineStr">
        <is>
          <t>Föryngringsavverkning</t>
        </is>
      </c>
      <c r="D254" s="1" t="n">
        <v>45589</v>
      </c>
      <c r="E254" s="1" t="n">
        <v>46314</v>
      </c>
      <c r="F254" t="inlineStr">
        <is>
          <t>ÖSTERGÖTLANDS LÄN</t>
        </is>
      </c>
      <c r="G254" t="inlineStr">
        <is>
          <t>MOTALA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62078-2023</t>
        </is>
      </c>
      <c r="B255" t="inlineStr">
        <is>
          <t>avverkningsanmälan</t>
        </is>
      </c>
      <c r="C255" t="inlineStr">
        <is>
          <t>Föryngringsavverkning</t>
        </is>
      </c>
      <c r="D255" s="1" t="n">
        <v>45266</v>
      </c>
      <c r="E255" s="1" t="n">
        <v>46314</v>
      </c>
      <c r="F255" t="inlineStr">
        <is>
          <t>ÖSTERGÖTLANDS LÄN</t>
        </is>
      </c>
      <c r="G255" t="inlineStr">
        <is>
          <t>MOTALA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24829-2026</t>
        </is>
      </c>
      <c r="B256" t="inlineStr">
        <is>
          <t>avverkningsanmälan</t>
        </is>
      </c>
      <c r="C256" t="inlineStr">
        <is>
          <t>Föryngringsavverkning</t>
        </is>
      </c>
      <c r="D256" s="1" t="n">
        <v>46174</v>
      </c>
      <c r="E256" s="1" t="n">
        <v>46314</v>
      </c>
      <c r="F256" t="inlineStr">
        <is>
          <t>ÖSTERGÖTLANDS LÄN</t>
        </is>
      </c>
      <c r="G256" t="inlineStr">
        <is>
          <t>MOTALA</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24831-2026</t>
        </is>
      </c>
      <c r="B257" t="inlineStr">
        <is>
          <t>avverkningsanmälan</t>
        </is>
      </c>
      <c r="C257" t="inlineStr">
        <is>
          <t>Föryngringsavverkning</t>
        </is>
      </c>
      <c r="D257" s="1" t="n">
        <v>46174</v>
      </c>
      <c r="E257" s="1" t="n">
        <v>46314</v>
      </c>
      <c r="F257" t="inlineStr">
        <is>
          <t>ÖSTERGÖTLANDS LÄN</t>
        </is>
      </c>
      <c r="G257" t="inlineStr">
        <is>
          <t>MOTALA</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24830-2026</t>
        </is>
      </c>
      <c r="B258" t="inlineStr">
        <is>
          <t>avverkningsanmälan</t>
        </is>
      </c>
      <c r="C258" t="inlineStr">
        <is>
          <t>Föryngringsavverkning</t>
        </is>
      </c>
      <c r="D258" s="1" t="n">
        <v>46174</v>
      </c>
      <c r="E258" s="1" t="n">
        <v>46314</v>
      </c>
      <c r="F258" t="inlineStr">
        <is>
          <t>ÖSTERGÖTLANDS LÄN</t>
        </is>
      </c>
      <c r="G258" t="inlineStr">
        <is>
          <t>MOTALA</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24832-2026</t>
        </is>
      </c>
      <c r="B259" t="inlineStr">
        <is>
          <t>avverkningsanmälan</t>
        </is>
      </c>
      <c r="C259" t="inlineStr">
        <is>
          <t>Föryngringsavverkning</t>
        </is>
      </c>
      <c r="D259" s="1" t="n">
        <v>46174</v>
      </c>
      <c r="E259" s="1" t="n">
        <v>46314</v>
      </c>
      <c r="F259" t="inlineStr">
        <is>
          <t>ÖSTERGÖTLANDS LÄN</t>
        </is>
      </c>
      <c r="G259" t="inlineStr">
        <is>
          <t>MOTALA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50733-2024</t>
        </is>
      </c>
      <c r="B260" t="inlineStr">
        <is>
          <t>avverkningsanmälan</t>
        </is>
      </c>
      <c r="C260" t="inlineStr">
        <is>
          <t>Föryngringsavverkning</t>
        </is>
      </c>
      <c r="D260" s="1" t="n">
        <v>45602</v>
      </c>
      <c r="E260" s="1" t="n">
        <v>46314</v>
      </c>
      <c r="F260" t="inlineStr">
        <is>
          <t>ÖSTERGÖTLANDS LÄN</t>
        </is>
      </c>
      <c r="G260" t="inlineStr">
        <is>
          <t>MOTALA</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53454-2024</t>
        </is>
      </c>
      <c r="B261" t="inlineStr">
        <is>
          <t>avverkningsanmälan</t>
        </is>
      </c>
      <c r="C261" t="inlineStr">
        <is>
          <t>Föryngringsavverkning</t>
        </is>
      </c>
      <c r="D261" s="1" t="n">
        <v>45614</v>
      </c>
      <c r="E261" s="1" t="n">
        <v>46314</v>
      </c>
      <c r="F261" t="inlineStr">
        <is>
          <t>ÖSTERGÖTLANDS LÄN</t>
        </is>
      </c>
      <c r="G261" t="inlineStr">
        <is>
          <t>MOTALA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62075-2023</t>
        </is>
      </c>
      <c r="B262" t="inlineStr">
        <is>
          <t>avverkningsanmälan</t>
        </is>
      </c>
      <c r="C262" t="inlineStr">
        <is>
          <t>Föryngringsavverkning</t>
        </is>
      </c>
      <c r="D262" s="1" t="n">
        <v>45266</v>
      </c>
      <c r="E262" s="1" t="n">
        <v>46314</v>
      </c>
      <c r="F262" t="inlineStr">
        <is>
          <t>ÖSTERGÖTLANDS LÄN</t>
        </is>
      </c>
      <c r="G262" t="inlineStr">
        <is>
          <t>MOTALA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62077-2023</t>
        </is>
      </c>
      <c r="B263" t="inlineStr">
        <is>
          <t>avverkningsanmälan</t>
        </is>
      </c>
      <c r="C263" t="inlineStr">
        <is>
          <t>Föryngringsavverkning</t>
        </is>
      </c>
      <c r="D263" s="1" t="n">
        <v>45266</v>
      </c>
      <c r="E263" s="1" t="n">
        <v>46314</v>
      </c>
      <c r="F263" t="inlineStr">
        <is>
          <t>ÖSTERGÖTLANDS LÄN</t>
        </is>
      </c>
      <c r="G263" t="inlineStr">
        <is>
          <t>MOTALA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62079-2023</t>
        </is>
      </c>
      <c r="B264" t="inlineStr">
        <is>
          <t>avverkningsanmälan</t>
        </is>
      </c>
      <c r="C264" t="inlineStr">
        <is>
          <t>Föryngringsavverkning</t>
        </is>
      </c>
      <c r="D264" s="1" t="n">
        <v>45266</v>
      </c>
      <c r="E264" s="1" t="n">
        <v>46314</v>
      </c>
      <c r="F264" t="inlineStr">
        <is>
          <t>ÖSTERGÖTLANDS LÄN</t>
        </is>
      </c>
      <c r="G264" t="inlineStr">
        <is>
          <t>MOTALA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52302-2023</t>
        </is>
      </c>
      <c r="B265" t="inlineStr">
        <is>
          <t>avverkningsanmälan</t>
        </is>
      </c>
      <c r="C265" t="inlineStr">
        <is>
          <t>Avverkning för annat ändamål</t>
        </is>
      </c>
      <c r="D265" s="1" t="n">
        <v>45224</v>
      </c>
      <c r="E265" s="1" t="n">
        <v>46314</v>
      </c>
      <c r="F265" t="inlineStr">
        <is>
          <t>ÖSTERGÖTLANDS LÄN</t>
        </is>
      </c>
      <c r="G265" t="inlineStr">
        <is>
          <t>MOTALA</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9622-2023</t>
        </is>
      </c>
      <c r="B266" t="inlineStr">
        <is>
          <t>avverkningsanmälan</t>
        </is>
      </c>
      <c r="C266" t="inlineStr">
        <is>
          <t>Föryngringsavverkning</t>
        </is>
      </c>
      <c r="D266" s="1" t="n">
        <v>44984</v>
      </c>
      <c r="E266" s="1" t="n">
        <v>46314</v>
      </c>
      <c r="F266" t="inlineStr">
        <is>
          <t>ÖSTERGÖTLANDS LÄN</t>
        </is>
      </c>
      <c r="G266" t="inlineStr">
        <is>
          <t>MOTALA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19234-2024</t>
        </is>
      </c>
      <c r="B267" t="inlineStr">
        <is>
          <t>avverkningsanmälan</t>
        </is>
      </c>
      <c r="C267" t="inlineStr">
        <is>
          <t>Föryngringsavverkning</t>
        </is>
      </c>
      <c r="D267" s="1" t="n">
        <v>45428</v>
      </c>
      <c r="E267" s="1" t="n">
        <v>46314</v>
      </c>
      <c r="F267" t="inlineStr">
        <is>
          <t>ÖSTERGÖTLANDS LÄN</t>
        </is>
      </c>
      <c r="G267" t="inlineStr">
        <is>
          <t>MOTALA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42137-2024</t>
        </is>
      </c>
      <c r="B268" t="inlineStr">
        <is>
          <t>avverkningsanmälan</t>
        </is>
      </c>
      <c r="C268" t="inlineStr">
        <is>
          <t>Föryngringsavverkning</t>
        </is>
      </c>
      <c r="D268" s="1" t="n">
        <v>45562</v>
      </c>
      <c r="E268" s="1" t="n">
        <v>46314</v>
      </c>
      <c r="F268" t="inlineStr">
        <is>
          <t>ÖSTERGÖTLANDS LÄN</t>
        </is>
      </c>
      <c r="G268" t="inlineStr">
        <is>
          <t>MOTALA</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2196-2023</t>
        </is>
      </c>
      <c r="B269" t="inlineStr">
        <is>
          <t>avverkningsanmälan</t>
        </is>
      </c>
      <c r="C269" t="inlineStr">
        <is>
          <t>Föryngringsavverkning</t>
        </is>
      </c>
      <c r="D269" s="1" t="n">
        <v>44942</v>
      </c>
      <c r="E269" s="1" t="n">
        <v>46314</v>
      </c>
      <c r="F269" t="inlineStr">
        <is>
          <t>ÖSTERGÖTLANDS LÄN</t>
        </is>
      </c>
      <c r="G269" t="inlineStr">
        <is>
          <t>MOTALA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47510-2022</t>
        </is>
      </c>
      <c r="B270" t="inlineStr">
        <is>
          <t>avverkningsanmälan</t>
        </is>
      </c>
      <c r="C270" t="inlineStr">
        <is>
          <t>Föryngringsavverkning</t>
        </is>
      </c>
      <c r="D270" s="1" t="n">
        <v>44853</v>
      </c>
      <c r="E270" s="1" t="n">
        <v>46314</v>
      </c>
      <c r="F270" t="inlineStr">
        <is>
          <t>ÖSTERGÖTLANDS LÄN</t>
        </is>
      </c>
      <c r="G270" t="inlineStr">
        <is>
          <t>MOTALA</t>
        </is>
      </c>
      <c r="H270" t="inlineStr">
        <is>
          <t>Övriga statliga verk och myndigheter</t>
        </is>
      </c>
      <c r="I270" t="n">
        <v>11.3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64161-2023</t>
        </is>
      </c>
      <c r="B271" t="inlineStr">
        <is>
          <t>avverkningsanmälan</t>
        </is>
      </c>
      <c r="C271" t="inlineStr">
        <is>
          <t>Föryngringsavverkning</t>
        </is>
      </c>
      <c r="D271" s="1" t="n">
        <v>45279</v>
      </c>
      <c r="E271" s="1" t="n">
        <v>46314</v>
      </c>
      <c r="F271" t="inlineStr">
        <is>
          <t>ÖSTERGÖTLANDS LÄN</t>
        </is>
      </c>
      <c r="G271" t="inlineStr">
        <is>
          <t>MOTALA</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64175-2023</t>
        </is>
      </c>
      <c r="B272" t="inlineStr">
        <is>
          <t>avverkningsanmälan</t>
        </is>
      </c>
      <c r="C272" t="inlineStr">
        <is>
          <t>Avverkning för annat ändamål</t>
        </is>
      </c>
      <c r="D272" s="1" t="n">
        <v>45279</v>
      </c>
      <c r="E272" s="1" t="n">
        <v>46314</v>
      </c>
      <c r="F272" t="inlineStr">
        <is>
          <t>ÖSTERGÖTLANDS LÄN</t>
        </is>
      </c>
      <c r="G272" t="inlineStr">
        <is>
          <t>MOTALA</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1485-2026</t>
        </is>
      </c>
      <c r="B273" t="inlineStr">
        <is>
          <t>avverkningsanmälan</t>
        </is>
      </c>
      <c r="C273" t="inlineStr">
        <is>
          <t>Föryngringsavverkning</t>
        </is>
      </c>
      <c r="D273" s="1" t="n">
        <v>46034</v>
      </c>
      <c r="E273" s="1" t="n">
        <v>46314</v>
      </c>
      <c r="F273" t="inlineStr">
        <is>
          <t>ÖSTERGÖTLANDS LÄN</t>
        </is>
      </c>
      <c r="G273" t="inlineStr">
        <is>
          <t>MOTALA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2205-2023</t>
        </is>
      </c>
      <c r="B274" t="inlineStr">
        <is>
          <t>avverkningsanmälan</t>
        </is>
      </c>
      <c r="C274" t="inlineStr">
        <is>
          <t>Föryngringsavverkning</t>
        </is>
      </c>
      <c r="D274" s="1" t="n">
        <v>44942</v>
      </c>
      <c r="E274" s="1" t="n">
        <v>46314</v>
      </c>
      <c r="F274" t="inlineStr">
        <is>
          <t>ÖSTERGÖTLANDS LÄN</t>
        </is>
      </c>
      <c r="G274" t="inlineStr">
        <is>
          <t>MOTALA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40528-2022</t>
        </is>
      </c>
      <c r="B275" t="inlineStr">
        <is>
          <t>avverkningsanmälan</t>
        </is>
      </c>
      <c r="C275" t="inlineStr">
        <is>
          <t>Föryngringsavverkning</t>
        </is>
      </c>
      <c r="D275" s="1" t="n">
        <v>44819</v>
      </c>
      <c r="E275" s="1" t="n">
        <v>46314</v>
      </c>
      <c r="F275" t="inlineStr">
        <is>
          <t>ÖSTERGÖTLANDS LÄN</t>
        </is>
      </c>
      <c r="G275" t="inlineStr">
        <is>
          <t>MOTALA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61434-2025</t>
        </is>
      </c>
      <c r="B276" t="inlineStr">
        <is>
          <t>avverkningsanmälan</t>
        </is>
      </c>
      <c r="C276" t="inlineStr">
        <is>
          <t>Föryngringsavverkning</t>
        </is>
      </c>
      <c r="D276" s="1" t="n">
        <v>46001</v>
      </c>
      <c r="E276" s="1" t="n">
        <v>46314</v>
      </c>
      <c r="F276" t="inlineStr">
        <is>
          <t>ÖSTERGÖTLANDS LÄN</t>
        </is>
      </c>
      <c r="G276" t="inlineStr">
        <is>
          <t>MOTALA</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6277-2026</t>
        </is>
      </c>
      <c r="B277" t="inlineStr">
        <is>
          <t>avverkningsanmälan</t>
        </is>
      </c>
      <c r="C277" t="inlineStr">
        <is>
          <t>Föryngringsavverkning</t>
        </is>
      </c>
      <c r="D277" s="1" t="n">
        <v>46055</v>
      </c>
      <c r="E277" s="1" t="n">
        <v>46314</v>
      </c>
      <c r="F277" t="inlineStr">
        <is>
          <t>ÖSTERGÖTLANDS LÄN</t>
        </is>
      </c>
      <c r="G277" t="inlineStr">
        <is>
          <t>MOTALA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7358-2026</t>
        </is>
      </c>
      <c r="B278" t="inlineStr">
        <is>
          <t>avverkningsanmälan</t>
        </is>
      </c>
      <c r="C278" t="inlineStr">
        <is>
          <t>Föryngringsavverkning</t>
        </is>
      </c>
      <c r="D278" s="1" t="n">
        <v>46058</v>
      </c>
      <c r="E278" s="1" t="n">
        <v>46314</v>
      </c>
      <c r="F278" t="inlineStr">
        <is>
          <t>ÖSTERGÖTLANDS LÄN</t>
        </is>
      </c>
      <c r="G278" t="inlineStr">
        <is>
          <t>MOTALA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21048-2024</t>
        </is>
      </c>
      <c r="B279" t="inlineStr">
        <is>
          <t>avverkningsanmälan</t>
        </is>
      </c>
      <c r="C279" t="inlineStr">
        <is>
          <t>Föryngringsavverkning</t>
        </is>
      </c>
      <c r="D279" s="1" t="n">
        <v>45439</v>
      </c>
      <c r="E279" s="1" t="n">
        <v>46314</v>
      </c>
      <c r="F279" t="inlineStr">
        <is>
          <t>ÖSTERGÖTLANDS LÄN</t>
        </is>
      </c>
      <c r="G279" t="inlineStr">
        <is>
          <t>MOTALA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44298-2023</t>
        </is>
      </c>
      <c r="B280" t="inlineStr">
        <is>
          <t>avverkningsanmälan</t>
        </is>
      </c>
      <c r="C280" t="inlineStr">
        <is>
          <t>Föryngringsavverkning</t>
        </is>
      </c>
      <c r="D280" s="1" t="n">
        <v>45187</v>
      </c>
      <c r="E280" s="1" t="n">
        <v>46314</v>
      </c>
      <c r="F280" t="inlineStr">
        <is>
          <t>ÖSTERGÖTLANDS LÄN</t>
        </is>
      </c>
      <c r="G280" t="inlineStr">
        <is>
          <t>MOTALA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7586-2026</t>
        </is>
      </c>
      <c r="B281" t="inlineStr">
        <is>
          <t>avverkningsanmälan</t>
        </is>
      </c>
      <c r="C281" t="inlineStr">
        <is>
          <t>Föryngringsavverkning</t>
        </is>
      </c>
      <c r="D281" s="1" t="n">
        <v>46061</v>
      </c>
      <c r="E281" s="1" t="n">
        <v>46314</v>
      </c>
      <c r="F281" t="inlineStr">
        <is>
          <t>ÖSTERGÖTLANDS LÄN</t>
        </is>
      </c>
      <c r="G281" t="inlineStr">
        <is>
          <t>MOTALA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8153-2026</t>
        </is>
      </c>
      <c r="B282" t="inlineStr">
        <is>
          <t>avverkningsanmälan</t>
        </is>
      </c>
      <c r="C282" t="inlineStr">
        <is>
          <t>Föryngringsavverkning</t>
        </is>
      </c>
      <c r="D282" s="1" t="n">
        <v>46064</v>
      </c>
      <c r="E282" s="1" t="n">
        <v>46314</v>
      </c>
      <c r="F282" t="inlineStr">
        <is>
          <t>ÖSTERGÖTLANDS LÄN</t>
        </is>
      </c>
      <c r="G282" t="inlineStr">
        <is>
          <t>MOTALA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8138-2026</t>
        </is>
      </c>
      <c r="B283" t="inlineStr">
        <is>
          <t>avverkningsanmälan</t>
        </is>
      </c>
      <c r="C283" t="inlineStr">
        <is>
          <t>Föryngringsavverkning</t>
        </is>
      </c>
      <c r="D283" s="1" t="n">
        <v>46064</v>
      </c>
      <c r="E283" s="1" t="n">
        <v>46314</v>
      </c>
      <c r="F283" t="inlineStr">
        <is>
          <t>ÖSTERGÖTLANDS LÄN</t>
        </is>
      </c>
      <c r="G283" t="inlineStr">
        <is>
          <t>MOTALA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27089-2026</t>
        </is>
      </c>
      <c r="B284" t="inlineStr">
        <is>
          <t>avverkningsanmälan</t>
        </is>
      </c>
      <c r="C284" t="inlineStr">
        <is>
          <t>Föryngringsavverkning</t>
        </is>
      </c>
      <c r="D284" s="1" t="n">
        <v>46188</v>
      </c>
      <c r="E284" s="1" t="n">
        <v>46314</v>
      </c>
      <c r="F284" t="inlineStr">
        <is>
          <t>ÖSTERGÖTLANDS LÄN</t>
        </is>
      </c>
      <c r="G284" t="inlineStr">
        <is>
          <t>MOTALA</t>
        </is>
      </c>
      <c r="H284" t="inlineStr">
        <is>
          <t>Sveaskog</t>
        </is>
      </c>
      <c r="I284" t="n">
        <v>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8785-2026</t>
        </is>
      </c>
      <c r="B285" t="inlineStr">
        <is>
          <t>avverkningsanmälan</t>
        </is>
      </c>
      <c r="C285" t="inlineStr">
        <is>
          <t>Föryngringsavverkning</t>
        </is>
      </c>
      <c r="D285" s="1" t="n">
        <v>46066</v>
      </c>
      <c r="E285" s="1" t="n">
        <v>46314</v>
      </c>
      <c r="F285" t="inlineStr">
        <is>
          <t>ÖSTERGÖTLANDS LÄN</t>
        </is>
      </c>
      <c r="G285" t="inlineStr">
        <is>
          <t>MOTALA</t>
        </is>
      </c>
      <c r="H285" t="inlineStr">
        <is>
          <t>Sveaskog</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8791-2026</t>
        </is>
      </c>
      <c r="B286" t="inlineStr">
        <is>
          <t>avverkningsanmälan</t>
        </is>
      </c>
      <c r="C286" t="inlineStr">
        <is>
          <t>Föryngringsavverkning</t>
        </is>
      </c>
      <c r="D286" s="1" t="n">
        <v>46066</v>
      </c>
      <c r="E286" s="1" t="n">
        <v>46314</v>
      </c>
      <c r="F286" t="inlineStr">
        <is>
          <t>ÖSTERGÖTLANDS LÄN</t>
        </is>
      </c>
      <c r="G286" t="inlineStr">
        <is>
          <t>MOTALA</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8794-2026</t>
        </is>
      </c>
      <c r="B287" t="inlineStr">
        <is>
          <t>avverkningsanmälan</t>
        </is>
      </c>
      <c r="C287" t="inlineStr">
        <is>
          <t>Föryngringsavverkning</t>
        </is>
      </c>
      <c r="D287" s="1" t="n">
        <v>46066</v>
      </c>
      <c r="E287" s="1" t="n">
        <v>46314</v>
      </c>
      <c r="F287" t="inlineStr">
        <is>
          <t>ÖSTERGÖTLANDS LÄN</t>
        </is>
      </c>
      <c r="G287" t="inlineStr">
        <is>
          <t>MOTALA</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8784-2026</t>
        </is>
      </c>
      <c r="B288" t="inlineStr">
        <is>
          <t>avverkningsanmälan</t>
        </is>
      </c>
      <c r="C288" t="inlineStr">
        <is>
          <t>Föryngringsavverkning</t>
        </is>
      </c>
      <c r="D288" s="1" t="n">
        <v>46066</v>
      </c>
      <c r="E288" s="1" t="n">
        <v>46314</v>
      </c>
      <c r="F288" t="inlineStr">
        <is>
          <t>ÖSTERGÖTLANDS LÄN</t>
        </is>
      </c>
      <c r="G288" t="inlineStr">
        <is>
          <t>MOTALA</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9000-2026</t>
        </is>
      </c>
      <c r="B289" t="inlineStr">
        <is>
          <t>avverkningsanmälan</t>
        </is>
      </c>
      <c r="C289" t="inlineStr">
        <is>
          <t>Föryngringsavverkning</t>
        </is>
      </c>
      <c r="D289" s="1" t="n">
        <v>46069</v>
      </c>
      <c r="E289" s="1" t="n">
        <v>46314</v>
      </c>
      <c r="F289" t="inlineStr">
        <is>
          <t>ÖSTERGÖTLANDS LÄN</t>
        </is>
      </c>
      <c r="G289" t="inlineStr">
        <is>
          <t>MOTALA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9002-2026</t>
        </is>
      </c>
      <c r="B290" t="inlineStr">
        <is>
          <t>avverkningsanmälan</t>
        </is>
      </c>
      <c r="C290" t="inlineStr">
        <is>
          <t>Föryngringsavverkning</t>
        </is>
      </c>
      <c r="D290" s="1" t="n">
        <v>46069</v>
      </c>
      <c r="E290" s="1" t="n">
        <v>46314</v>
      </c>
      <c r="F290" t="inlineStr">
        <is>
          <t>ÖSTERGÖTLANDS LÄN</t>
        </is>
      </c>
      <c r="G290" t="inlineStr">
        <is>
          <t>MOTALA</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42130-2024</t>
        </is>
      </c>
      <c r="B291" t="inlineStr">
        <is>
          <t>avverkningsanmälan</t>
        </is>
      </c>
      <c r="C291" t="inlineStr">
        <is>
          <t>Föryngringsavverkning</t>
        </is>
      </c>
      <c r="D291" s="1" t="n">
        <v>45562</v>
      </c>
      <c r="E291" s="1" t="n">
        <v>46314</v>
      </c>
      <c r="F291" t="inlineStr">
        <is>
          <t>ÖSTERGÖTLANDS LÄN</t>
        </is>
      </c>
      <c r="G291" t="inlineStr">
        <is>
          <t>MOTALA</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62556-2021</t>
        </is>
      </c>
      <c r="B292" t="inlineStr">
        <is>
          <t>avverkningsanmälan</t>
        </is>
      </c>
      <c r="C292" t="inlineStr">
        <is>
          <t>Föryngringsavverkning</t>
        </is>
      </c>
      <c r="D292" s="1" t="n">
        <v>44503</v>
      </c>
      <c r="E292" s="1" t="n">
        <v>46314</v>
      </c>
      <c r="F292" t="inlineStr">
        <is>
          <t>ÖSTERGÖTLANDS LÄN</t>
        </is>
      </c>
      <c r="G292" t="inlineStr">
        <is>
          <t>MOTALA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17148-2023</t>
        </is>
      </c>
      <c r="B293" t="inlineStr">
        <is>
          <t>avverkningsanmälan</t>
        </is>
      </c>
      <c r="C293" t="inlineStr">
        <is>
          <t>Föryngringsavverkning</t>
        </is>
      </c>
      <c r="D293" s="1" t="n">
        <v>45034</v>
      </c>
      <c r="E293" s="1" t="n">
        <v>46314</v>
      </c>
      <c r="F293" t="inlineStr">
        <is>
          <t>ÖSTERGÖTLANDS LÄN</t>
        </is>
      </c>
      <c r="G293" t="inlineStr">
        <is>
          <t>MOTALA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9960-2026</t>
        </is>
      </c>
      <c r="B294" t="inlineStr">
        <is>
          <t>avverkningsanmälan</t>
        </is>
      </c>
      <c r="C294" t="inlineStr">
        <is>
          <t>Föryngringsavverkning</t>
        </is>
      </c>
      <c r="D294" s="1" t="n">
        <v>46073</v>
      </c>
      <c r="E294" s="1" t="n">
        <v>46314</v>
      </c>
      <c r="F294" t="inlineStr">
        <is>
          <t>ÖSTERGÖTLANDS LÄN</t>
        </is>
      </c>
      <c r="G294" t="inlineStr">
        <is>
          <t>MOTALA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27088-2026</t>
        </is>
      </c>
      <c r="B295" t="inlineStr">
        <is>
          <t>avverkningsanmälan</t>
        </is>
      </c>
      <c r="C295" t="inlineStr">
        <is>
          <t>Föryngringsavverkning</t>
        </is>
      </c>
      <c r="D295" s="1" t="n">
        <v>46188</v>
      </c>
      <c r="E295" s="1" t="n">
        <v>46314</v>
      </c>
      <c r="F295" t="inlineStr">
        <is>
          <t>ÖSTERGÖTLANDS LÄN</t>
        </is>
      </c>
      <c r="G295" t="inlineStr">
        <is>
          <t>MOTALA</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41944-2022</t>
        </is>
      </c>
      <c r="B296" t="inlineStr">
        <is>
          <t>avverkningsanmälan</t>
        </is>
      </c>
      <c r="C296" t="inlineStr">
        <is>
          <t>Föryngringsavverkning</t>
        </is>
      </c>
      <c r="D296" s="1" t="n">
        <v>44830</v>
      </c>
      <c r="E296" s="1" t="n">
        <v>46314</v>
      </c>
      <c r="F296" t="inlineStr">
        <is>
          <t>ÖSTERGÖTLANDS LÄN</t>
        </is>
      </c>
      <c r="G296" t="inlineStr">
        <is>
          <t>MOTALA</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10510-2026</t>
        </is>
      </c>
      <c r="B297" t="inlineStr">
        <is>
          <t>avverkningsanmälan</t>
        </is>
      </c>
      <c r="C297" t="inlineStr">
        <is>
          <t>Avverkning för annat ändamål</t>
        </is>
      </c>
      <c r="D297" s="1" t="n">
        <v>46077</v>
      </c>
      <c r="E297" s="1" t="n">
        <v>46314</v>
      </c>
      <c r="F297" t="inlineStr">
        <is>
          <t>ÖSTERGÖTLANDS LÄN</t>
        </is>
      </c>
      <c r="G297" t="inlineStr">
        <is>
          <t>MOTALA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11315-2026</t>
        </is>
      </c>
      <c r="B298" t="inlineStr">
        <is>
          <t>avverkningsanmälan</t>
        </is>
      </c>
      <c r="C298" t="inlineStr">
        <is>
          <t>Föryngringsavverkning</t>
        </is>
      </c>
      <c r="D298" s="1" t="n">
        <v>46080</v>
      </c>
      <c r="E298" s="1" t="n">
        <v>46314</v>
      </c>
      <c r="F298" t="inlineStr">
        <is>
          <t>ÖSTERGÖTLANDS LÄN</t>
        </is>
      </c>
      <c r="G298" t="inlineStr">
        <is>
          <t>MOTALA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27694-2026</t>
        </is>
      </c>
      <c r="B299" t="inlineStr">
        <is>
          <t>avverkningsanmälan</t>
        </is>
      </c>
      <c r="C299" t="inlineStr">
        <is>
          <t>Föryngringsavverkning</t>
        </is>
      </c>
      <c r="D299" s="1" t="n">
        <v>46190</v>
      </c>
      <c r="E299" s="1" t="n">
        <v>46314</v>
      </c>
      <c r="F299" t="inlineStr">
        <is>
          <t>ÖSTERGÖTLANDS LÄN</t>
        </is>
      </c>
      <c r="G299" t="inlineStr">
        <is>
          <t>MOTALA</t>
        </is>
      </c>
      <c r="H299" t="inlineStr">
        <is>
          <t>Allmännings- och besparingsskogar</t>
        </is>
      </c>
      <c r="I299" t="n">
        <v>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21527-2023</t>
        </is>
      </c>
      <c r="B300" t="inlineStr">
        <is>
          <t>avverkningsanmälan</t>
        </is>
      </c>
      <c r="C300" t="inlineStr">
        <is>
          <t>Avverkning för annat ändamål</t>
        </is>
      </c>
      <c r="D300" s="1" t="n">
        <v>45061</v>
      </c>
      <c r="E300" s="1" t="n">
        <v>46314</v>
      </c>
      <c r="F300" t="inlineStr">
        <is>
          <t>ÖSTERGÖTLANDS LÄN</t>
        </is>
      </c>
      <c r="G300" t="inlineStr">
        <is>
          <t>MOTALA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27591-2026</t>
        </is>
      </c>
      <c r="B301" t="inlineStr">
        <is>
          <t>avverkningsanmälan</t>
        </is>
      </c>
      <c r="C301" t="inlineStr">
        <is>
          <t>Föryngringsavverkning</t>
        </is>
      </c>
      <c r="D301" s="1" t="n">
        <v>46190</v>
      </c>
      <c r="E301" s="1" t="n">
        <v>46314</v>
      </c>
      <c r="F301" t="inlineStr">
        <is>
          <t>ÖSTERGÖTLANDS LÄN</t>
        </is>
      </c>
      <c r="G301" t="inlineStr">
        <is>
          <t>MOTALA</t>
        </is>
      </c>
      <c r="I301" t="n">
        <v>10.8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23757-2025</t>
        </is>
      </c>
      <c r="B302" t="inlineStr">
        <is>
          <t>avverkningsanmälan</t>
        </is>
      </c>
      <c r="C302" t="inlineStr">
        <is>
          <t>Avverkning för annat ändamål</t>
        </is>
      </c>
      <c r="D302" s="1" t="n">
        <v>45793</v>
      </c>
      <c r="E302" s="1" t="n">
        <v>46314</v>
      </c>
      <c r="F302" t="inlineStr">
        <is>
          <t>ÖSTERGÖTLANDS LÄN</t>
        </is>
      </c>
      <c r="G302" t="inlineStr">
        <is>
          <t>MOTALA</t>
        </is>
      </c>
      <c r="H302" t="inlineStr">
        <is>
          <t>Allmännings- och besparingsskogar</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12639-2026</t>
        </is>
      </c>
      <c r="B303" t="inlineStr">
        <is>
          <t>avverkningsanmälan</t>
        </is>
      </c>
      <c r="C303" t="inlineStr">
        <is>
          <t>Föryngringsavverkning</t>
        </is>
      </c>
      <c r="D303" s="1" t="n">
        <v>46091</v>
      </c>
      <c r="E303" s="1" t="n">
        <v>46314</v>
      </c>
      <c r="F303" t="inlineStr">
        <is>
          <t>ÖSTERGÖTLANDS LÄN</t>
        </is>
      </c>
      <c r="G303" t="inlineStr">
        <is>
          <t>MOTALA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12627-2026</t>
        </is>
      </c>
      <c r="B304" t="inlineStr">
        <is>
          <t>avverkningsanmälan</t>
        </is>
      </c>
      <c r="C304" t="inlineStr">
        <is>
          <t>Föryngringsavverkning</t>
        </is>
      </c>
      <c r="D304" s="1" t="n">
        <v>46091</v>
      </c>
      <c r="E304" s="1" t="n">
        <v>46314</v>
      </c>
      <c r="F304" t="inlineStr">
        <is>
          <t>ÖSTERGÖTLANDS LÄN</t>
        </is>
      </c>
      <c r="G304" t="inlineStr">
        <is>
          <t>MOTALA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12982-2026</t>
        </is>
      </c>
      <c r="B305" t="inlineStr">
        <is>
          <t>avverkningsanmälan</t>
        </is>
      </c>
      <c r="C305" t="inlineStr">
        <is>
          <t>Föryngringsavverkning</t>
        </is>
      </c>
      <c r="D305" s="1" t="n">
        <v>46092</v>
      </c>
      <c r="E305" s="1" t="n">
        <v>46314</v>
      </c>
      <c r="F305" t="inlineStr">
        <is>
          <t>ÖSTERGÖTLANDS LÄN</t>
        </is>
      </c>
      <c r="G305" t="inlineStr">
        <is>
          <t>MOTALA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27695-2026</t>
        </is>
      </c>
      <c r="B306" t="inlineStr">
        <is>
          <t>avverkningsanmälan</t>
        </is>
      </c>
      <c r="C306" t="inlineStr">
        <is>
          <t>Föryngringsavverkning</t>
        </is>
      </c>
      <c r="D306" s="1" t="n">
        <v>46190</v>
      </c>
      <c r="E306" s="1" t="n">
        <v>46314</v>
      </c>
      <c r="F306" t="inlineStr">
        <is>
          <t>ÖSTERGÖTLANDS LÄN</t>
        </is>
      </c>
      <c r="G306" t="inlineStr">
        <is>
          <t>MOTALA</t>
        </is>
      </c>
      <c r="H306" t="inlineStr">
        <is>
          <t>Allmännings- och besparingsskogar</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27735-2026</t>
        </is>
      </c>
      <c r="B307" t="inlineStr">
        <is>
          <t>avverkningsanmälan</t>
        </is>
      </c>
      <c r="C307" t="inlineStr">
        <is>
          <t>Föryngringsavverkning</t>
        </is>
      </c>
      <c r="D307" s="1" t="n">
        <v>46191</v>
      </c>
      <c r="E307" s="1" t="n">
        <v>46314</v>
      </c>
      <c r="F307" t="inlineStr">
        <is>
          <t>ÖSTERGÖTLANDS LÄN</t>
        </is>
      </c>
      <c r="G307" t="inlineStr">
        <is>
          <t>MOTALA</t>
        </is>
      </c>
      <c r="H307" t="inlineStr">
        <is>
          <t>Holmen skog AB</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12968-2026</t>
        </is>
      </c>
      <c r="B308" t="inlineStr">
        <is>
          <t>avverkningsanmälan</t>
        </is>
      </c>
      <c r="C308" t="inlineStr">
        <is>
          <t>Avverkning för annat ändamål</t>
        </is>
      </c>
      <c r="D308" s="1" t="n">
        <v>46092</v>
      </c>
      <c r="E308" s="1" t="n">
        <v>46314</v>
      </c>
      <c r="F308" t="inlineStr">
        <is>
          <t>ÖSTERGÖTLANDS LÄN</t>
        </is>
      </c>
      <c r="G308" t="inlineStr">
        <is>
          <t>MOTALA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12989-2026</t>
        </is>
      </c>
      <c r="B309" t="inlineStr">
        <is>
          <t>avverkningsanmälan</t>
        </is>
      </c>
      <c r="C309" t="inlineStr">
        <is>
          <t>Föryngringsavverkning</t>
        </is>
      </c>
      <c r="D309" s="1" t="n">
        <v>46092</v>
      </c>
      <c r="E309" s="1" t="n">
        <v>46314</v>
      </c>
      <c r="F309" t="inlineStr">
        <is>
          <t>ÖSTERGÖTLANDS LÄN</t>
        </is>
      </c>
      <c r="G309" t="inlineStr">
        <is>
          <t>MOTALA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13303-2026</t>
        </is>
      </c>
      <c r="B310" t="inlineStr">
        <is>
          <t>avverkningsanmälan</t>
        </is>
      </c>
      <c r="C310" t="inlineStr">
        <is>
          <t>Föryngringsavverkning</t>
        </is>
      </c>
      <c r="D310" s="1" t="n">
        <v>46094</v>
      </c>
      <c r="E310" s="1" t="n">
        <v>46314</v>
      </c>
      <c r="F310" t="inlineStr">
        <is>
          <t>ÖSTERGÖTLANDS LÄN</t>
        </is>
      </c>
      <c r="G310" t="inlineStr">
        <is>
          <t>MOTALA</t>
        </is>
      </c>
      <c r="H310" t="inlineStr">
        <is>
          <t>Sveaskog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13304-2026</t>
        </is>
      </c>
      <c r="B311" t="inlineStr">
        <is>
          <t>avverkningsanmälan</t>
        </is>
      </c>
      <c r="C311" t="inlineStr">
        <is>
          <t>Föryngringsavverkning</t>
        </is>
      </c>
      <c r="D311" s="1" t="n">
        <v>46094</v>
      </c>
      <c r="E311" s="1" t="n">
        <v>46314</v>
      </c>
      <c r="F311" t="inlineStr">
        <is>
          <t>ÖSTERGÖTLANDS LÄN</t>
        </is>
      </c>
      <c r="G311" t="inlineStr">
        <is>
          <t>MOTALA</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13298-2026</t>
        </is>
      </c>
      <c r="B312" t="inlineStr">
        <is>
          <t>avverkningsanmälan</t>
        </is>
      </c>
      <c r="C312" t="inlineStr">
        <is>
          <t>Föryngringsavverkning</t>
        </is>
      </c>
      <c r="D312" s="1" t="n">
        <v>46094</v>
      </c>
      <c r="E312" s="1" t="n">
        <v>46314</v>
      </c>
      <c r="F312" t="inlineStr">
        <is>
          <t>ÖSTERGÖTLANDS LÄN</t>
        </is>
      </c>
      <c r="G312" t="inlineStr">
        <is>
          <t>MOTALA</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13300-2026</t>
        </is>
      </c>
      <c r="B313" t="inlineStr">
        <is>
          <t>avverkningsanmälan</t>
        </is>
      </c>
      <c r="C313" t="inlineStr">
        <is>
          <t>Föryngringsavverkning</t>
        </is>
      </c>
      <c r="D313" s="1" t="n">
        <v>46094</v>
      </c>
      <c r="E313" s="1" t="n">
        <v>46314</v>
      </c>
      <c r="F313" t="inlineStr">
        <is>
          <t>ÖSTERGÖTLANDS LÄN</t>
        </is>
      </c>
      <c r="G313" t="inlineStr">
        <is>
          <t>MOTALA</t>
        </is>
      </c>
      <c r="H313" t="inlineStr">
        <is>
          <t>Sveaskog</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43368-2023</t>
        </is>
      </c>
      <c r="B314" t="inlineStr">
        <is>
          <t>avverkningsanmälan</t>
        </is>
      </c>
      <c r="C314" t="inlineStr">
        <is>
          <t>Föryngringsavverkning</t>
        </is>
      </c>
      <c r="D314" s="1" t="n">
        <v>45183</v>
      </c>
      <c r="E314" s="1" t="n">
        <v>46314</v>
      </c>
      <c r="F314" t="inlineStr">
        <is>
          <t>ÖSTERGÖTLANDS LÄN</t>
        </is>
      </c>
      <c r="G314" t="inlineStr">
        <is>
          <t>MOTALA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34761-2024</t>
        </is>
      </c>
      <c r="B315" t="inlineStr">
        <is>
          <t>avverkningsanmälan</t>
        </is>
      </c>
      <c r="C315" t="inlineStr">
        <is>
          <t>Föryngringsavverkning</t>
        </is>
      </c>
      <c r="D315" s="1" t="n">
        <v>45526</v>
      </c>
      <c r="E315" s="1" t="n">
        <v>46314</v>
      </c>
      <c r="F315" t="inlineStr">
        <is>
          <t>ÖSTERGÖTLANDS LÄN</t>
        </is>
      </c>
      <c r="G315" t="inlineStr">
        <is>
          <t>MOTALA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15057-2026</t>
        </is>
      </c>
      <c r="B316" t="inlineStr">
        <is>
          <t>avverkningsanmälan</t>
        </is>
      </c>
      <c r="C316" t="inlineStr">
        <is>
          <t>Föryngringsavverkning</t>
        </is>
      </c>
      <c r="D316" s="1" t="n">
        <v>46104</v>
      </c>
      <c r="E316" s="1" t="n">
        <v>46314</v>
      </c>
      <c r="F316" t="inlineStr">
        <is>
          <t>ÖSTERGÖTLANDS LÄN</t>
        </is>
      </c>
      <c r="G316" t="inlineStr">
        <is>
          <t>MOTALA</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8108-2024</t>
        </is>
      </c>
      <c r="B317" t="inlineStr">
        <is>
          <t>avverkningsanmälan</t>
        </is>
      </c>
      <c r="C317" t="inlineStr">
        <is>
          <t>Föryngringsavverkning</t>
        </is>
      </c>
      <c r="D317" s="1" t="n">
        <v>45351</v>
      </c>
      <c r="E317" s="1" t="n">
        <v>46314</v>
      </c>
      <c r="F317" t="inlineStr">
        <is>
          <t>ÖSTERGÖTLANDS LÄN</t>
        </is>
      </c>
      <c r="G317" t="inlineStr">
        <is>
          <t>MOTALA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14568-2026</t>
        </is>
      </c>
      <c r="B318" t="inlineStr">
        <is>
          <t>avverkningsanmälan</t>
        </is>
      </c>
      <c r="C318" t="inlineStr">
        <is>
          <t>Föryngringsavverkning</t>
        </is>
      </c>
      <c r="D318" s="1" t="n">
        <v>46100</v>
      </c>
      <c r="E318" s="1" t="n">
        <v>46314</v>
      </c>
      <c r="F318" t="inlineStr">
        <is>
          <t>ÖSTERGÖTLANDS LÄN</t>
        </is>
      </c>
      <c r="G318" t="inlineStr">
        <is>
          <t>MOTALA</t>
        </is>
      </c>
      <c r="H318" t="inlineStr">
        <is>
          <t>Sveaskog</t>
        </is>
      </c>
      <c r="I318" t="n">
        <v>12.9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27410-2024</t>
        </is>
      </c>
      <c r="B319" t="inlineStr">
        <is>
          <t>avverkningsanmälan</t>
        </is>
      </c>
      <c r="C319" t="inlineStr">
        <is>
          <t>Föryngringsavverkning</t>
        </is>
      </c>
      <c r="D319" s="1" t="n">
        <v>45473</v>
      </c>
      <c r="E319" s="1" t="n">
        <v>46314</v>
      </c>
      <c r="F319" t="inlineStr">
        <is>
          <t>ÖSTERGÖTLANDS LÄN</t>
        </is>
      </c>
      <c r="G319" t="inlineStr">
        <is>
          <t>MOTALA</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15551-2026</t>
        </is>
      </c>
      <c r="B320" t="inlineStr">
        <is>
          <t>avverkningsanmälan</t>
        </is>
      </c>
      <c r="C320" t="inlineStr">
        <is>
          <t>Avverkning för annat ändamål</t>
        </is>
      </c>
      <c r="D320" s="1" t="n">
        <v>46106</v>
      </c>
      <c r="E320" s="1" t="n">
        <v>46314</v>
      </c>
      <c r="F320" t="inlineStr">
        <is>
          <t>ÖSTERGÖTLANDS LÄN</t>
        </is>
      </c>
      <c r="G320" t="inlineStr">
        <is>
          <t>MOTALA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15077-2026</t>
        </is>
      </c>
      <c r="B321" t="inlineStr">
        <is>
          <t>avverkningsanmälan</t>
        </is>
      </c>
      <c r="C321" t="inlineStr">
        <is>
          <t>Föryngringsavverkning</t>
        </is>
      </c>
      <c r="D321" s="1" t="n">
        <v>46105</v>
      </c>
      <c r="E321" s="1" t="n">
        <v>46314</v>
      </c>
      <c r="F321" t="inlineStr">
        <is>
          <t>ÖSTERGÖTLANDS LÄN</t>
        </is>
      </c>
      <c r="G321" t="inlineStr">
        <is>
          <t>MOTALA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1178-2024</t>
        </is>
      </c>
      <c r="B322" t="inlineStr">
        <is>
          <t>avverkningsanmälan</t>
        </is>
      </c>
      <c r="C322" t="inlineStr">
        <is>
          <t>Föryngringsavverkning</t>
        </is>
      </c>
      <c r="D322" s="1" t="n">
        <v>45302</v>
      </c>
      <c r="E322" s="1" t="n">
        <v>46314</v>
      </c>
      <c r="F322" t="inlineStr">
        <is>
          <t>ÖSTERGÖTLANDS LÄN</t>
        </is>
      </c>
      <c r="G322" t="inlineStr">
        <is>
          <t>MOTALA</t>
        </is>
      </c>
      <c r="H322" t="inlineStr">
        <is>
          <t>Övriga statliga verk och myndigheter</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15076-2026</t>
        </is>
      </c>
      <c r="B323" t="inlineStr">
        <is>
          <t>avverkningsanmälan</t>
        </is>
      </c>
      <c r="C323" t="inlineStr">
        <is>
          <t>Föryngringsavverkning</t>
        </is>
      </c>
      <c r="D323" s="1" t="n">
        <v>46105</v>
      </c>
      <c r="E323" s="1" t="n">
        <v>46314</v>
      </c>
      <c r="F323" t="inlineStr">
        <is>
          <t>ÖSTERGÖTLANDS LÄN</t>
        </is>
      </c>
      <c r="G323" t="inlineStr">
        <is>
          <t>MOTALA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18915-2023</t>
        </is>
      </c>
      <c r="B324" t="inlineStr">
        <is>
          <t>avverkningsanmälan</t>
        </is>
      </c>
      <c r="C324" t="inlineStr">
        <is>
          <t>Föryngringsavverkning</t>
        </is>
      </c>
      <c r="D324" s="1" t="n">
        <v>45043</v>
      </c>
      <c r="E324" s="1" t="n">
        <v>46314</v>
      </c>
      <c r="F324" t="inlineStr">
        <is>
          <t>ÖSTERGÖTLANDS LÄN</t>
        </is>
      </c>
      <c r="G324" t="inlineStr">
        <is>
          <t>MOTALA</t>
        </is>
      </c>
      <c r="H324" t="inlineStr">
        <is>
          <t>Övriga statliga verk och myndigheter</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28699-2026</t>
        </is>
      </c>
      <c r="B325" t="inlineStr">
        <is>
          <t>avverkningsanmälan</t>
        </is>
      </c>
      <c r="C325" t="inlineStr">
        <is>
          <t>Föryngringsavverkning</t>
        </is>
      </c>
      <c r="D325" s="1" t="n">
        <v>46198</v>
      </c>
      <c r="E325" s="1" t="n">
        <v>46314</v>
      </c>
      <c r="F325" t="inlineStr">
        <is>
          <t>ÖSTERGÖTLANDS LÄN</t>
        </is>
      </c>
      <c r="G325" t="inlineStr">
        <is>
          <t>MOTALA</t>
        </is>
      </c>
      <c r="H325" t="inlineStr">
        <is>
          <t>Allmännings- och besparingsskogar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28678-2026</t>
        </is>
      </c>
      <c r="B326" t="inlineStr">
        <is>
          <t>avverkningsanmälan</t>
        </is>
      </c>
      <c r="C326" t="inlineStr">
        <is>
          <t>Föryngringsavverkning</t>
        </is>
      </c>
      <c r="D326" s="1" t="n">
        <v>46198</v>
      </c>
      <c r="E326" s="1" t="n">
        <v>46314</v>
      </c>
      <c r="F326" t="inlineStr">
        <is>
          <t>ÖSTERGÖTLANDS LÄN</t>
        </is>
      </c>
      <c r="G326" t="inlineStr">
        <is>
          <t>MOTALA</t>
        </is>
      </c>
      <c r="H326" t="inlineStr">
        <is>
          <t>Allmännings- och besparingsskogar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28684-2026</t>
        </is>
      </c>
      <c r="B327" t="inlineStr">
        <is>
          <t>avverkningsanmälan</t>
        </is>
      </c>
      <c r="C327" t="inlineStr">
        <is>
          <t>Föryngringsavverkning</t>
        </is>
      </c>
      <c r="D327" s="1" t="n">
        <v>46198</v>
      </c>
      <c r="E327" s="1" t="n">
        <v>46314</v>
      </c>
      <c r="F327" t="inlineStr">
        <is>
          <t>ÖSTERGÖTLANDS LÄN</t>
        </is>
      </c>
      <c r="G327" t="inlineStr">
        <is>
          <t>MOTALA</t>
        </is>
      </c>
      <c r="H327" t="inlineStr">
        <is>
          <t>Allmännings- och besparingsskogar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28700-2026</t>
        </is>
      </c>
      <c r="B328" t="inlineStr">
        <is>
          <t>avverkningsanmälan</t>
        </is>
      </c>
      <c r="C328" t="inlineStr">
        <is>
          <t>Föryngringsavverkning</t>
        </is>
      </c>
      <c r="D328" s="1" t="n">
        <v>46198</v>
      </c>
      <c r="E328" s="1" t="n">
        <v>46314</v>
      </c>
      <c r="F328" t="inlineStr">
        <is>
          <t>ÖSTERGÖTLANDS LÄN</t>
        </is>
      </c>
      <c r="G328" t="inlineStr">
        <is>
          <t>MOTALA</t>
        </is>
      </c>
      <c r="H328" t="inlineStr">
        <is>
          <t>Allmännings- och besparingsskogar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18924-2024</t>
        </is>
      </c>
      <c r="B329" t="inlineStr">
        <is>
          <t>avverkningsanmälan</t>
        </is>
      </c>
      <c r="C329" t="inlineStr">
        <is>
          <t>Föryngringsavverkning</t>
        </is>
      </c>
      <c r="D329" s="1" t="n">
        <v>45427</v>
      </c>
      <c r="E329" s="1" t="n">
        <v>46314</v>
      </c>
      <c r="F329" t="inlineStr">
        <is>
          <t>ÖSTERGÖTLANDS LÄN</t>
        </is>
      </c>
      <c r="G329" t="inlineStr">
        <is>
          <t>MOTALA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21204-2024</t>
        </is>
      </c>
      <c r="B330" t="inlineStr">
        <is>
          <t>avverkningsanmälan</t>
        </is>
      </c>
      <c r="C330" t="inlineStr">
        <is>
          <t>Föryngringsavverkning</t>
        </is>
      </c>
      <c r="D330" s="1" t="n">
        <v>45440</v>
      </c>
      <c r="E330" s="1" t="n">
        <v>46314</v>
      </c>
      <c r="F330" t="inlineStr">
        <is>
          <t>ÖSTERGÖTLANDS LÄN</t>
        </is>
      </c>
      <c r="G330" t="inlineStr">
        <is>
          <t>MOTALA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12274-2022</t>
        </is>
      </c>
      <c r="B331" t="inlineStr">
        <is>
          <t>avverkningsanmälan</t>
        </is>
      </c>
      <c r="C331" t="inlineStr">
        <is>
          <t>Föryngringsavverkning</t>
        </is>
      </c>
      <c r="D331" s="1" t="n">
        <v>44637</v>
      </c>
      <c r="E331" s="1" t="n">
        <v>46314</v>
      </c>
      <c r="F331" t="inlineStr">
        <is>
          <t>ÖSTERGÖTLANDS LÄN</t>
        </is>
      </c>
      <c r="G331" t="inlineStr">
        <is>
          <t>MOTALA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12091-2023</t>
        </is>
      </c>
      <c r="B332" t="inlineStr">
        <is>
          <t>avverkningsanmälan</t>
        </is>
      </c>
      <c r="C332" t="inlineStr">
        <is>
          <t>Föryngringsavverkning</t>
        </is>
      </c>
      <c r="D332" s="1" t="n">
        <v>44998</v>
      </c>
      <c r="E332" s="1" t="n">
        <v>46314</v>
      </c>
      <c r="F332" t="inlineStr">
        <is>
          <t>ÖSTERGÖTLANDS LÄN</t>
        </is>
      </c>
      <c r="G332" t="inlineStr">
        <is>
          <t>MOTALA</t>
        </is>
      </c>
      <c r="H332" t="inlineStr">
        <is>
          <t>Sveaskog</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4271-2025</t>
        </is>
      </c>
      <c r="B333" t="inlineStr">
        <is>
          <t>avverkningsanmälan</t>
        </is>
      </c>
      <c r="C333" t="inlineStr">
        <is>
          <t>Föryngringsavverkning</t>
        </is>
      </c>
      <c r="D333" s="1" t="n">
        <v>45685</v>
      </c>
      <c r="E333" s="1" t="n">
        <v>46314</v>
      </c>
      <c r="F333" t="inlineStr">
        <is>
          <t>ÖSTERGÖTLANDS LÄN</t>
        </is>
      </c>
      <c r="G333" t="inlineStr">
        <is>
          <t>MOTALA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17741-2026</t>
        </is>
      </c>
      <c r="B334" t="inlineStr">
        <is>
          <t>avverkningsanmälan</t>
        </is>
      </c>
      <c r="C334" t="inlineStr">
        <is>
          <t>Föryngringsavverkning</t>
        </is>
      </c>
      <c r="D334" s="1" t="n">
        <v>46122</v>
      </c>
      <c r="E334" s="1" t="n">
        <v>46314</v>
      </c>
      <c r="F334" t="inlineStr">
        <is>
          <t>ÖSTERGÖTLANDS LÄN</t>
        </is>
      </c>
      <c r="G334" t="inlineStr">
        <is>
          <t>MOTALA</t>
        </is>
      </c>
      <c r="H334" t="inlineStr">
        <is>
          <t>Sveaskog</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7925-2022</t>
        </is>
      </c>
      <c r="B335" t="inlineStr">
        <is>
          <t>avverkningsanmälan</t>
        </is>
      </c>
      <c r="C335" t="inlineStr">
        <is>
          <t>Föryngringsavverkning</t>
        </is>
      </c>
      <c r="D335" s="1" t="n">
        <v>44608</v>
      </c>
      <c r="E335" s="1" t="n">
        <v>46314</v>
      </c>
      <c r="F335" t="inlineStr">
        <is>
          <t>ÖSTERGÖTLANDS LÄN</t>
        </is>
      </c>
      <c r="G335" t="inlineStr">
        <is>
          <t>MOTALA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7927-2022</t>
        </is>
      </c>
      <c r="B336" t="inlineStr">
        <is>
          <t>avverkningsanmälan</t>
        </is>
      </c>
      <c r="C336" t="inlineStr">
        <is>
          <t>Föryngringsavverkning</t>
        </is>
      </c>
      <c r="D336" s="1" t="n">
        <v>44608</v>
      </c>
      <c r="E336" s="1" t="n">
        <v>46314</v>
      </c>
      <c r="F336" t="inlineStr">
        <is>
          <t>ÖSTERGÖTLANDS LÄN</t>
        </is>
      </c>
      <c r="G336" t="inlineStr">
        <is>
          <t>MOTALA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29128-2026</t>
        </is>
      </c>
      <c r="B337" t="inlineStr">
        <is>
          <t>avverkningsanmälan</t>
        </is>
      </c>
      <c r="C337" t="inlineStr">
        <is>
          <t>Föryngringsavverkning</t>
        </is>
      </c>
      <c r="D337" s="1" t="n">
        <v>46202</v>
      </c>
      <c r="E337" s="1" t="n">
        <v>46314</v>
      </c>
      <c r="F337" t="inlineStr">
        <is>
          <t>ÖSTERGÖTLANDS LÄN</t>
        </is>
      </c>
      <c r="G337" t="inlineStr">
        <is>
          <t>MOTALA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29028-2026</t>
        </is>
      </c>
      <c r="B338" t="inlineStr">
        <is>
          <t>avverkningsanmälan</t>
        </is>
      </c>
      <c r="C338" t="inlineStr">
        <is>
          <t>Föryngringsavverkning</t>
        </is>
      </c>
      <c r="D338" s="1" t="n">
        <v>46199</v>
      </c>
      <c r="E338" s="1" t="n">
        <v>46314</v>
      </c>
      <c r="F338" t="inlineStr">
        <is>
          <t>ÖSTERGÖTLANDS LÄN</t>
        </is>
      </c>
      <c r="G338" t="inlineStr">
        <is>
          <t>MOTALA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19108-2026</t>
        </is>
      </c>
      <c r="B339" t="inlineStr">
        <is>
          <t>avverkningsanmälan</t>
        </is>
      </c>
      <c r="C339" t="inlineStr">
        <is>
          <t>Föryngringsavverkning</t>
        </is>
      </c>
      <c r="D339" s="1" t="n">
        <v>46132</v>
      </c>
      <c r="E339" s="1" t="n">
        <v>46314</v>
      </c>
      <c r="F339" t="inlineStr">
        <is>
          <t>ÖSTERGÖTLANDS LÄN</t>
        </is>
      </c>
      <c r="G339" t="inlineStr">
        <is>
          <t>MOTALA</t>
        </is>
      </c>
      <c r="H339" t="inlineStr">
        <is>
          <t>Sveaskog</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19110-2026</t>
        </is>
      </c>
      <c r="B340" t="inlineStr">
        <is>
          <t>avverkningsanmälan</t>
        </is>
      </c>
      <c r="C340" t="inlineStr">
        <is>
          <t>Föryngringsavverkning</t>
        </is>
      </c>
      <c r="D340" s="1" t="n">
        <v>46132</v>
      </c>
      <c r="E340" s="1" t="n">
        <v>46314</v>
      </c>
      <c r="F340" t="inlineStr">
        <is>
          <t>ÖSTERGÖTLANDS LÄN</t>
        </is>
      </c>
      <c r="G340" t="inlineStr">
        <is>
          <t>MOTALA</t>
        </is>
      </c>
      <c r="H340" t="inlineStr">
        <is>
          <t>Sveaskog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8781-2026</t>
        </is>
      </c>
      <c r="B341" t="inlineStr">
        <is>
          <t>avverkningsanmälan</t>
        </is>
      </c>
      <c r="C341" t="inlineStr">
        <is>
          <t>Föryngringsavverkning</t>
        </is>
      </c>
      <c r="D341" s="1" t="n">
        <v>46066</v>
      </c>
      <c r="E341" s="1" t="n">
        <v>46314</v>
      </c>
      <c r="F341" t="inlineStr">
        <is>
          <t>ÖSTERGÖTLANDS LÄN</t>
        </is>
      </c>
      <c r="G341" t="inlineStr">
        <is>
          <t>MOTALA</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12258-2024</t>
        </is>
      </c>
      <c r="B342" t="inlineStr">
        <is>
          <t>avverkningsanmälan</t>
        </is>
      </c>
      <c r="C342" t="inlineStr">
        <is>
          <t>Föryngringsavverkning</t>
        </is>
      </c>
      <c r="D342" s="1" t="n">
        <v>45378</v>
      </c>
      <c r="E342" s="1" t="n">
        <v>46314</v>
      </c>
      <c r="F342" t="inlineStr">
        <is>
          <t>ÖSTERGÖTLANDS LÄN</t>
        </is>
      </c>
      <c r="G342" t="inlineStr">
        <is>
          <t>MOTALA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29736-2026</t>
        </is>
      </c>
      <c r="B343" t="inlineStr">
        <is>
          <t>avverkningsanmälan</t>
        </is>
      </c>
      <c r="C343" t="inlineStr">
        <is>
          <t>Avverkning för att bevara och utveckla /försöksver</t>
        </is>
      </c>
      <c r="D343" s="1" t="n">
        <v>46204</v>
      </c>
      <c r="E343" s="1" t="n">
        <v>46314</v>
      </c>
      <c r="F343" t="inlineStr">
        <is>
          <t>ÖSTERGÖTLANDS LÄN</t>
        </is>
      </c>
      <c r="G343" t="inlineStr">
        <is>
          <t>MOTALA</t>
        </is>
      </c>
      <c r="H343" t="inlineStr">
        <is>
          <t>Sveaskog</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24254-2022</t>
        </is>
      </c>
      <c r="B344" t="inlineStr">
        <is>
          <t>avverkningsanmälan</t>
        </is>
      </c>
      <c r="C344" t="inlineStr">
        <is>
          <t>Föryngringsavverkning</t>
        </is>
      </c>
      <c r="D344" s="1" t="n">
        <v>44725</v>
      </c>
      <c r="E344" s="1" t="n">
        <v>46314</v>
      </c>
      <c r="F344" t="inlineStr">
        <is>
          <t>ÖSTERGÖTLANDS LÄN</t>
        </is>
      </c>
      <c r="G344" t="inlineStr">
        <is>
          <t>MOTALA</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10324-2023</t>
        </is>
      </c>
      <c r="B345" t="inlineStr">
        <is>
          <t>avverkningsanmälan</t>
        </is>
      </c>
      <c r="C345" t="inlineStr">
        <is>
          <t>Föryngringsavverkning</t>
        </is>
      </c>
      <c r="D345" s="1" t="n">
        <v>44987</v>
      </c>
      <c r="E345" s="1" t="n">
        <v>46314</v>
      </c>
      <c r="F345" t="inlineStr">
        <is>
          <t>ÖSTERGÖTLANDS LÄN</t>
        </is>
      </c>
      <c r="G345" t="inlineStr">
        <is>
          <t>MOTALA</t>
        </is>
      </c>
      <c r="H345" t="inlineStr">
        <is>
          <t>Sveaskog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12156-2024</t>
        </is>
      </c>
      <c r="B346" t="inlineStr">
        <is>
          <t>avverkningsanmälan</t>
        </is>
      </c>
      <c r="C346" t="inlineStr">
        <is>
          <t>Föryngringsavverkning</t>
        </is>
      </c>
      <c r="D346" s="1" t="n">
        <v>45377</v>
      </c>
      <c r="E346" s="1" t="n">
        <v>46314</v>
      </c>
      <c r="F346" t="inlineStr">
        <is>
          <t>ÖSTERGÖTLANDS LÄN</t>
        </is>
      </c>
      <c r="G346" t="inlineStr">
        <is>
          <t>MOTALA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51762-2024</t>
        </is>
      </c>
      <c r="B347" t="inlineStr">
        <is>
          <t>avverkningsanmälan</t>
        </is>
      </c>
      <c r="C347" t="inlineStr">
        <is>
          <t>Föryngringsavverkning</t>
        </is>
      </c>
      <c r="D347" s="1" t="n">
        <v>45607</v>
      </c>
      <c r="E347" s="1" t="n">
        <v>46314</v>
      </c>
      <c r="F347" t="inlineStr">
        <is>
          <t>ÖSTERGÖTLANDS LÄN</t>
        </is>
      </c>
      <c r="G347" t="inlineStr">
        <is>
          <t>MOTALA</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12155-2024</t>
        </is>
      </c>
      <c r="B348" t="inlineStr">
        <is>
          <t>avverkningsanmälan</t>
        </is>
      </c>
      <c r="C348" t="inlineStr">
        <is>
          <t>Föryngringsavverkning</t>
        </is>
      </c>
      <c r="D348" s="1" t="n">
        <v>45377</v>
      </c>
      <c r="E348" s="1" t="n">
        <v>46314</v>
      </c>
      <c r="F348" t="inlineStr">
        <is>
          <t>ÖSTERGÖTLANDS LÄN</t>
        </is>
      </c>
      <c r="G348" t="inlineStr">
        <is>
          <t>MOTALA</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30115-2026</t>
        </is>
      </c>
      <c r="B349" t="inlineStr">
        <is>
          <t>avverkningsanmälan</t>
        </is>
      </c>
      <c r="C349" t="inlineStr">
        <is>
          <t>Föryngringsavverkning</t>
        </is>
      </c>
      <c r="D349" s="1" t="n">
        <v>46206</v>
      </c>
      <c r="E349" s="1" t="n">
        <v>46314</v>
      </c>
      <c r="F349" t="inlineStr">
        <is>
          <t>ÖSTERGÖTLANDS LÄN</t>
        </is>
      </c>
      <c r="G349" t="inlineStr">
        <is>
          <t>MOTALA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27418-2022</t>
        </is>
      </c>
      <c r="B350" t="inlineStr">
        <is>
          <t>avverkningsanmälan</t>
        </is>
      </c>
      <c r="C350" t="inlineStr">
        <is>
          <t>Föryngringsavverkning</t>
        </is>
      </c>
      <c r="D350" s="1" t="n">
        <v>44742</v>
      </c>
      <c r="E350" s="1" t="n">
        <v>46314</v>
      </c>
      <c r="F350" t="inlineStr">
        <is>
          <t>ÖSTERGÖTLANDS LÄN</t>
        </is>
      </c>
      <c r="G350" t="inlineStr">
        <is>
          <t>MOTALA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57705-2023</t>
        </is>
      </c>
      <c r="B351" t="inlineStr">
        <is>
          <t>avverkningsanmälan</t>
        </is>
      </c>
      <c r="C351" t="inlineStr">
        <is>
          <t>Föryngringsavverkning</t>
        </is>
      </c>
      <c r="D351" s="1" t="n">
        <v>45243</v>
      </c>
      <c r="E351" s="1" t="n">
        <v>46314</v>
      </c>
      <c r="F351" t="inlineStr">
        <is>
          <t>ÖSTERGÖTLANDS LÄN</t>
        </is>
      </c>
      <c r="G351" t="inlineStr">
        <is>
          <t>MOTALA</t>
        </is>
      </c>
      <c r="H351" t="inlineStr">
        <is>
          <t>Övriga statliga verk och myndigheter</t>
        </is>
      </c>
      <c r="I351" t="n">
        <v>25.1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57697-2023</t>
        </is>
      </c>
      <c r="B352" t="inlineStr">
        <is>
          <t>avverkningsanmälan</t>
        </is>
      </c>
      <c r="C352" t="inlineStr">
        <is>
          <t>Föryngringsavverkning</t>
        </is>
      </c>
      <c r="D352" s="1" t="n">
        <v>45243</v>
      </c>
      <c r="E352" s="1" t="n">
        <v>46314</v>
      </c>
      <c r="F352" t="inlineStr">
        <is>
          <t>ÖSTERGÖTLANDS LÄN</t>
        </is>
      </c>
      <c r="G352" t="inlineStr">
        <is>
          <t>MOTALA</t>
        </is>
      </c>
      <c r="H352" t="inlineStr">
        <is>
          <t>Övriga statliga verk och myndigheter</t>
        </is>
      </c>
      <c r="I352" t="n">
        <v>24.8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63150-2023</t>
        </is>
      </c>
      <c r="B353" t="inlineStr">
        <is>
          <t>avverkningsanmälan</t>
        </is>
      </c>
      <c r="C353" t="inlineStr">
        <is>
          <t>Föryngringsavverkning</t>
        </is>
      </c>
      <c r="D353" s="1" t="n">
        <v>45273</v>
      </c>
      <c r="E353" s="1" t="n">
        <v>46314</v>
      </c>
      <c r="F353" t="inlineStr">
        <is>
          <t>ÖSTERGÖTLANDS LÄN</t>
        </is>
      </c>
      <c r="G353" t="inlineStr">
        <is>
          <t>MOTALA</t>
        </is>
      </c>
      <c r="H353" t="inlineStr">
        <is>
          <t>Kyrkan</t>
        </is>
      </c>
      <c r="I353" t="n">
        <v>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31295-2026</t>
        </is>
      </c>
      <c r="B354" t="inlineStr">
        <is>
          <t>avverkningsanmälan</t>
        </is>
      </c>
      <c r="C354" t="inlineStr">
        <is>
          <t>Föryngringsavverkning</t>
        </is>
      </c>
      <c r="D354" s="1" t="n">
        <v>46218</v>
      </c>
      <c r="E354" s="1" t="n">
        <v>46314</v>
      </c>
      <c r="F354" t="inlineStr">
        <is>
          <t>ÖSTERGÖTLANDS LÄN</t>
        </is>
      </c>
      <c r="G354" t="inlineStr">
        <is>
          <t>MOTALA</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31296-2026</t>
        </is>
      </c>
      <c r="B355" t="inlineStr">
        <is>
          <t>avverkningsanmälan</t>
        </is>
      </c>
      <c r="C355" t="inlineStr">
        <is>
          <t>Föryngringsavverkning</t>
        </is>
      </c>
      <c r="D355" s="1" t="n">
        <v>46218</v>
      </c>
      <c r="E355" s="1" t="n">
        <v>46314</v>
      </c>
      <c r="F355" t="inlineStr">
        <is>
          <t>ÖSTERGÖTLANDS LÄN</t>
        </is>
      </c>
      <c r="G355" t="inlineStr">
        <is>
          <t>MOTALA</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31297-2026</t>
        </is>
      </c>
      <c r="B356" t="inlineStr">
        <is>
          <t>avverkningsanmälan</t>
        </is>
      </c>
      <c r="C356" t="inlineStr">
        <is>
          <t>Föryngringsavverkning</t>
        </is>
      </c>
      <c r="D356" s="1" t="n">
        <v>46218</v>
      </c>
      <c r="E356" s="1" t="n">
        <v>46314</v>
      </c>
      <c r="F356" t="inlineStr">
        <is>
          <t>ÖSTERGÖTLANDS LÄN</t>
        </is>
      </c>
      <c r="G356" t="inlineStr">
        <is>
          <t>MOTALA</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36725-2022</t>
        </is>
      </c>
      <c r="B357" t="inlineStr">
        <is>
          <t>avverkningsanmälan</t>
        </is>
      </c>
      <c r="C357" t="inlineStr">
        <is>
          <t>Föryngringsavverkning</t>
        </is>
      </c>
      <c r="D357" s="1" t="n">
        <v>44804</v>
      </c>
      <c r="E357" s="1" t="n">
        <v>46314</v>
      </c>
      <c r="F357" t="inlineStr">
        <is>
          <t>ÖSTERGÖTLANDS LÄN</t>
        </is>
      </c>
      <c r="G357" t="inlineStr">
        <is>
          <t>MOTALA</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55295-2023</t>
        </is>
      </c>
      <c r="B358" t="inlineStr">
        <is>
          <t>avverkningsanmälan</t>
        </is>
      </c>
      <c r="C358" t="inlineStr">
        <is>
          <t>Föryngringsavverkning</t>
        </is>
      </c>
      <c r="D358" s="1" t="n">
        <v>45237</v>
      </c>
      <c r="E358" s="1" t="n">
        <v>46314</v>
      </c>
      <c r="F358" t="inlineStr">
        <is>
          <t>ÖSTERGÖTLANDS LÄN</t>
        </is>
      </c>
      <c r="G358" t="inlineStr">
        <is>
          <t>MOTALA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65561-2021</t>
        </is>
      </c>
      <c r="B359" t="inlineStr">
        <is>
          <t>avverkningsanmälan</t>
        </is>
      </c>
      <c r="C359" t="inlineStr">
        <is>
          <t>Föryngringsavverkning</t>
        </is>
      </c>
      <c r="D359" s="1" t="n">
        <v>44516</v>
      </c>
      <c r="E359" s="1" t="n">
        <v>46314</v>
      </c>
      <c r="F359" t="inlineStr">
        <is>
          <t>ÖSTERGÖTLANDS LÄN</t>
        </is>
      </c>
      <c r="G359" t="inlineStr">
        <is>
          <t>MOTALA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32470-2022</t>
        </is>
      </c>
      <c r="B360" t="inlineStr">
        <is>
          <t>avverkningsanmälan</t>
        </is>
      </c>
      <c r="C360" t="inlineStr">
        <is>
          <t>Föryngringsavverkning</t>
        </is>
      </c>
      <c r="D360" s="1" t="n">
        <v>44782</v>
      </c>
      <c r="E360" s="1" t="n">
        <v>46314</v>
      </c>
      <c r="F360" t="inlineStr">
        <is>
          <t>ÖSTERGÖTLANDS LÄN</t>
        </is>
      </c>
      <c r="G360" t="inlineStr">
        <is>
          <t>MOTALA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1645-2022</t>
        </is>
      </c>
      <c r="B361" t="inlineStr">
        <is>
          <t>avverkningsanmälan</t>
        </is>
      </c>
      <c r="C361" t="inlineStr">
        <is>
          <t>Föryngringsavverkning</t>
        </is>
      </c>
      <c r="D361" s="1" t="n">
        <v>44573</v>
      </c>
      <c r="E361" s="1" t="n">
        <v>46314</v>
      </c>
      <c r="F361" t="inlineStr">
        <is>
          <t>ÖSTERGÖTLANDS LÄN</t>
        </is>
      </c>
      <c r="G361" t="inlineStr">
        <is>
          <t>MOTALA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12434-2023</t>
        </is>
      </c>
      <c r="B362" t="inlineStr">
        <is>
          <t>avverkningsanmälan</t>
        </is>
      </c>
      <c r="C362" t="inlineStr">
        <is>
          <t>Avverkning för annat ändamål</t>
        </is>
      </c>
      <c r="D362" s="1" t="n">
        <v>44999</v>
      </c>
      <c r="E362" s="1" t="n">
        <v>46314</v>
      </c>
      <c r="F362" t="inlineStr">
        <is>
          <t>ÖSTERGÖTLANDS LÄN</t>
        </is>
      </c>
      <c r="G362" t="inlineStr">
        <is>
          <t>MOTALA</t>
        </is>
      </c>
      <c r="H362" t="inlineStr">
        <is>
          <t>Allmännings- och besparingsskogar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42298-2023</t>
        </is>
      </c>
      <c r="B363" t="inlineStr">
        <is>
          <t>avverkningsanmälan</t>
        </is>
      </c>
      <c r="C363" t="inlineStr">
        <is>
          <t>Föryngringsavverkning</t>
        </is>
      </c>
      <c r="D363" s="1" t="n">
        <v>45180</v>
      </c>
      <c r="E363" s="1" t="n">
        <v>46314</v>
      </c>
      <c r="F363" t="inlineStr">
        <is>
          <t>ÖSTERGÖTLANDS LÄN</t>
        </is>
      </c>
      <c r="G363" t="inlineStr">
        <is>
          <t>MOTALA</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38241-2026</t>
        </is>
      </c>
      <c r="B364" t="inlineStr">
        <is>
          <t>avverkningsanmälan</t>
        </is>
      </c>
      <c r="C364" t="inlineStr">
        <is>
          <t>Föryngringsavverkning</t>
        </is>
      </c>
      <c r="D364" s="1" t="n">
        <v>46281</v>
      </c>
      <c r="E364" s="1" t="n">
        <v>46314</v>
      </c>
      <c r="F364" t="inlineStr">
        <is>
          <t>ÖSTERGÖTLANDS LÄN</t>
        </is>
      </c>
      <c r="G364" t="inlineStr">
        <is>
          <t>MOTALA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56867-2022</t>
        </is>
      </c>
      <c r="B365" t="inlineStr">
        <is>
          <t>avverkningsanmälan</t>
        </is>
      </c>
      <c r="C365" t="inlineStr">
        <is>
          <t>Föryngringsavverkning</t>
        </is>
      </c>
      <c r="D365" s="1" t="n">
        <v>44894</v>
      </c>
      <c r="E365" s="1" t="n">
        <v>46314</v>
      </c>
      <c r="F365" t="inlineStr">
        <is>
          <t>ÖSTERGÖTLANDS LÄN</t>
        </is>
      </c>
      <c r="G365" t="inlineStr">
        <is>
          <t>MOTALA</t>
        </is>
      </c>
      <c r="H365" t="inlineStr">
        <is>
          <t>Sveaskog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27965-2024</t>
        </is>
      </c>
      <c r="B366" t="inlineStr">
        <is>
          <t>avverkningsanmälan</t>
        </is>
      </c>
      <c r="C366" t="inlineStr">
        <is>
          <t>Föryngringsavverkning</t>
        </is>
      </c>
      <c r="D366" s="1" t="n">
        <v>45476</v>
      </c>
      <c r="E366" s="1" t="n">
        <v>46314</v>
      </c>
      <c r="F366" t="inlineStr">
        <is>
          <t>ÖSTERGÖTLANDS LÄN</t>
        </is>
      </c>
      <c r="G366" t="inlineStr">
        <is>
          <t>MOTALA</t>
        </is>
      </c>
      <c r="H366" t="inlineStr">
        <is>
          <t>Holmen skog AB</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58344-2022</t>
        </is>
      </c>
      <c r="B367" t="inlineStr">
        <is>
          <t>avverkningsanmälan</t>
        </is>
      </c>
      <c r="C367" t="inlineStr">
        <is>
          <t>Föryngringsavverkning</t>
        </is>
      </c>
      <c r="D367" s="1" t="n">
        <v>44893</v>
      </c>
      <c r="E367" s="1" t="n">
        <v>46314</v>
      </c>
      <c r="F367" t="inlineStr">
        <is>
          <t>ÖSTERGÖTLANDS LÄN</t>
        </is>
      </c>
      <c r="G367" t="inlineStr">
        <is>
          <t>MOTALA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38245-2026</t>
        </is>
      </c>
      <c r="B368" t="inlineStr">
        <is>
          <t>avverkningsanmälan</t>
        </is>
      </c>
      <c r="C368" t="inlineStr">
        <is>
          <t>Föryngringsavverkning</t>
        </is>
      </c>
      <c r="D368" s="1" t="n">
        <v>46281</v>
      </c>
      <c r="E368" s="1" t="n">
        <v>46314</v>
      </c>
      <c r="F368" t="inlineStr">
        <is>
          <t>ÖSTERGÖTLANDS LÄN</t>
        </is>
      </c>
      <c r="G368" t="inlineStr">
        <is>
          <t>MOTALA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16586-2023</t>
        </is>
      </c>
      <c r="B369" t="inlineStr">
        <is>
          <t>avverkningsanmälan</t>
        </is>
      </c>
      <c r="C369" t="inlineStr">
        <is>
          <t>Avverkning för annat ändamål</t>
        </is>
      </c>
      <c r="D369" s="1" t="n">
        <v>45030</v>
      </c>
      <c r="E369" s="1" t="n">
        <v>46314</v>
      </c>
      <c r="F369" t="inlineStr">
        <is>
          <t>ÖSTERGÖTLANDS LÄN</t>
        </is>
      </c>
      <c r="G369" t="inlineStr">
        <is>
          <t>MOTALA</t>
        </is>
      </c>
      <c r="H369" t="inlineStr">
        <is>
          <t>Kyrkan</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37618-2025</t>
        </is>
      </c>
      <c r="B370" t="inlineStr">
        <is>
          <t>avverkningsanmälan</t>
        </is>
      </c>
      <c r="C370" t="inlineStr">
        <is>
          <t>Föryngringsavverkning</t>
        </is>
      </c>
      <c r="D370" s="1" t="n">
        <v>45880</v>
      </c>
      <c r="E370" s="1" t="n">
        <v>46314</v>
      </c>
      <c r="F370" t="inlineStr">
        <is>
          <t>ÖSTERGÖTLANDS LÄN</t>
        </is>
      </c>
      <c r="G370" t="inlineStr">
        <is>
          <t>MOTALA</t>
        </is>
      </c>
      <c r="H370" t="inlineStr">
        <is>
          <t>Sveaskog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12643-2022</t>
        </is>
      </c>
      <c r="B371" t="inlineStr">
        <is>
          <t>avverkningsanmälan</t>
        </is>
      </c>
      <c r="C371" t="inlineStr">
        <is>
          <t>Föryngringsavverkning</t>
        </is>
      </c>
      <c r="D371" s="1" t="n">
        <v>44641</v>
      </c>
      <c r="E371" s="1" t="n">
        <v>46314</v>
      </c>
      <c r="F371" t="inlineStr">
        <is>
          <t>ÖSTERGÖTLANDS LÄN</t>
        </is>
      </c>
      <c r="G371" t="inlineStr">
        <is>
          <t>MOTALA</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60029-2021</t>
        </is>
      </c>
      <c r="B372" t="inlineStr">
        <is>
          <t>avverkningsanmälan</t>
        </is>
      </c>
      <c r="C372" t="inlineStr">
        <is>
          <t>Föryngringsavverkning</t>
        </is>
      </c>
      <c r="D372" s="1" t="n">
        <v>44494</v>
      </c>
      <c r="E372" s="1" t="n">
        <v>46314</v>
      </c>
      <c r="F372" t="inlineStr">
        <is>
          <t>ÖSTERGÖTLANDS LÄN</t>
        </is>
      </c>
      <c r="G372" t="inlineStr">
        <is>
          <t>MOTALA</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637-2023</t>
        </is>
      </c>
      <c r="B373" t="inlineStr">
        <is>
          <t>avverkningsanmälan</t>
        </is>
      </c>
      <c r="C373" t="inlineStr">
        <is>
          <t>Föryngringsavverkning</t>
        </is>
      </c>
      <c r="D373" s="1" t="n">
        <v>44930</v>
      </c>
      <c r="E373" s="1" t="n">
        <v>46314</v>
      </c>
      <c r="F373" t="inlineStr">
        <is>
          <t>ÖSTERGÖTLANDS LÄN</t>
        </is>
      </c>
      <c r="G373" t="inlineStr">
        <is>
          <t>MOTALA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32985-2026</t>
        </is>
      </c>
      <c r="B374" t="inlineStr">
        <is>
          <t>avverkningsanmälan</t>
        </is>
      </c>
      <c r="C374" t="inlineStr">
        <is>
          <t>Föryngringsavverkning</t>
        </is>
      </c>
      <c r="D374" s="1" t="n">
        <v>46243</v>
      </c>
      <c r="E374" s="1" t="n">
        <v>46314</v>
      </c>
      <c r="F374" t="inlineStr">
        <is>
          <t>ÖSTERGÖTLANDS LÄN</t>
        </is>
      </c>
      <c r="G374" t="inlineStr">
        <is>
          <t>MOTALA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62065-2023</t>
        </is>
      </c>
      <c r="B375" t="inlineStr">
        <is>
          <t>avverkningsanmälan</t>
        </is>
      </c>
      <c r="C375" t="inlineStr">
        <is>
          <t>Föryngringsavverkning</t>
        </is>
      </c>
      <c r="D375" s="1" t="n">
        <v>45266</v>
      </c>
      <c r="E375" s="1" t="n">
        <v>46314</v>
      </c>
      <c r="F375" t="inlineStr">
        <is>
          <t>ÖSTERGÖTLANDS LÄN</t>
        </is>
      </c>
      <c r="G375" t="inlineStr">
        <is>
          <t>MOTALA</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17543-2022</t>
        </is>
      </c>
      <c r="B376" t="inlineStr">
        <is>
          <t>avverkningsanmälan</t>
        </is>
      </c>
      <c r="C376" t="inlineStr">
        <is>
          <t>Föryngringsavverkning</t>
        </is>
      </c>
      <c r="D376" s="1" t="n">
        <v>44679</v>
      </c>
      <c r="E376" s="1" t="n">
        <v>46314</v>
      </c>
      <c r="F376" t="inlineStr">
        <is>
          <t>ÖSTERGÖTLANDS LÄN</t>
        </is>
      </c>
      <c r="G376" t="inlineStr">
        <is>
          <t>MOTALA</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31744-2022</t>
        </is>
      </c>
      <c r="B377" t="inlineStr">
        <is>
          <t>avverkningsanmälan</t>
        </is>
      </c>
      <c r="C377" t="inlineStr">
        <is>
          <t>Föryngringsavverkning</t>
        </is>
      </c>
      <c r="D377" s="1" t="n">
        <v>44776</v>
      </c>
      <c r="E377" s="1" t="n">
        <v>46314</v>
      </c>
      <c r="F377" t="inlineStr">
        <is>
          <t>ÖSTERGÖTLANDS LÄN</t>
        </is>
      </c>
      <c r="G377" t="inlineStr">
        <is>
          <t>MOTALA</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53322-2023</t>
        </is>
      </c>
      <c r="B378" t="inlineStr">
        <is>
          <t>avverkningsanmälan</t>
        </is>
      </c>
      <c r="C378" t="inlineStr">
        <is>
          <t>Föryngringsavverkning</t>
        </is>
      </c>
      <c r="D378" s="1" t="n">
        <v>45229</v>
      </c>
      <c r="E378" s="1" t="n">
        <v>46314</v>
      </c>
      <c r="F378" t="inlineStr">
        <is>
          <t>ÖSTERGÖTLANDS LÄN</t>
        </is>
      </c>
      <c r="G378" t="inlineStr">
        <is>
          <t>MOTALA</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39319-2026</t>
        </is>
      </c>
      <c r="B379" t="inlineStr">
        <is>
          <t>avverkningsanmälan</t>
        </is>
      </c>
      <c r="C379" t="inlineStr">
        <is>
          <t>Föryngringsavverkning</t>
        </is>
      </c>
      <c r="D379" s="1" t="n">
        <v>46288</v>
      </c>
      <c r="E379" s="1" t="n">
        <v>46314</v>
      </c>
      <c r="F379" t="inlineStr">
        <is>
          <t>ÖSTERGÖTLANDS LÄN</t>
        </is>
      </c>
      <c r="G379" t="inlineStr">
        <is>
          <t>MOTALA</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47999-2023</t>
        </is>
      </c>
      <c r="B380" t="inlineStr">
        <is>
          <t>avverkningsanmälan</t>
        </is>
      </c>
      <c r="C380" t="inlineStr">
        <is>
          <t>Föryngringsavverkning</t>
        </is>
      </c>
      <c r="D380" s="1" t="n">
        <v>45204</v>
      </c>
      <c r="E380" s="1" t="n">
        <v>46314</v>
      </c>
      <c r="F380" t="inlineStr">
        <is>
          <t>ÖSTERGÖTLANDS LÄN</t>
        </is>
      </c>
      <c r="G380" t="inlineStr">
        <is>
          <t>MOTALA</t>
        </is>
      </c>
      <c r="H380" t="inlineStr">
        <is>
          <t>Allmännings- och besparingsskogar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51638-2023</t>
        </is>
      </c>
      <c r="B381" t="inlineStr">
        <is>
          <t>avverkningsanmälan</t>
        </is>
      </c>
      <c r="C381" t="inlineStr">
        <is>
          <t>Föryngringsavverkning</t>
        </is>
      </c>
      <c r="D381" s="1" t="n">
        <v>45222</v>
      </c>
      <c r="E381" s="1" t="n">
        <v>46314</v>
      </c>
      <c r="F381" t="inlineStr">
        <is>
          <t>ÖSTERGÖTLANDS LÄN</t>
        </is>
      </c>
      <c r="G381" t="inlineStr">
        <is>
          <t>MOTALA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24252-2022</t>
        </is>
      </c>
      <c r="B382" t="inlineStr">
        <is>
          <t>avverkningsanmälan</t>
        </is>
      </c>
      <c r="C382" t="inlineStr">
        <is>
          <t>Föryngringsavverkning</t>
        </is>
      </c>
      <c r="D382" s="1" t="n">
        <v>44725</v>
      </c>
      <c r="E382" s="1" t="n">
        <v>46314</v>
      </c>
      <c r="F382" t="inlineStr">
        <is>
          <t>ÖSTERGÖTLANDS LÄN</t>
        </is>
      </c>
      <c r="G382" t="inlineStr">
        <is>
          <t>MOTALA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40518-2022</t>
        </is>
      </c>
      <c r="B383" t="inlineStr">
        <is>
          <t>avverkningsanmälan</t>
        </is>
      </c>
      <c r="C383" t="inlineStr">
        <is>
          <t>Föryngringsavverkning</t>
        </is>
      </c>
      <c r="D383" s="1" t="n">
        <v>44819</v>
      </c>
      <c r="E383" s="1" t="n">
        <v>46314</v>
      </c>
      <c r="F383" t="inlineStr">
        <is>
          <t>ÖSTERGÖTLANDS LÄN</t>
        </is>
      </c>
      <c r="G383" t="inlineStr">
        <is>
          <t>MOTALA</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41937-2022</t>
        </is>
      </c>
      <c r="B384" t="inlineStr">
        <is>
          <t>avverkningsanmälan</t>
        </is>
      </c>
      <c r="C384" t="inlineStr">
        <is>
          <t>Föryngringsavverkning</t>
        </is>
      </c>
      <c r="D384" s="1" t="n">
        <v>44830</v>
      </c>
      <c r="E384" s="1" t="n">
        <v>46314</v>
      </c>
      <c r="F384" t="inlineStr">
        <is>
          <t>ÖSTERGÖTLANDS LÄN</t>
        </is>
      </c>
      <c r="G384" t="inlineStr">
        <is>
          <t>MOTALA</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39779-2026</t>
        </is>
      </c>
      <c r="B385" t="inlineStr">
        <is>
          <t>avverkningsanmälan</t>
        </is>
      </c>
      <c r="C385" t="inlineStr">
        <is>
          <t>Föryngringsavverkning</t>
        </is>
      </c>
      <c r="D385" s="1" t="n">
        <v>46290</v>
      </c>
      <c r="E385" s="1" t="n">
        <v>46314</v>
      </c>
      <c r="F385" t="inlineStr">
        <is>
          <t>ÖSTERGÖTLANDS LÄN</t>
        </is>
      </c>
      <c r="G385" t="inlineStr">
        <is>
          <t>MOTALA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8783-2026</t>
        </is>
      </c>
      <c r="B386" t="inlineStr">
        <is>
          <t>avverkningsanmälan</t>
        </is>
      </c>
      <c r="C386" t="inlineStr">
        <is>
          <t>Föryngringsavverkning</t>
        </is>
      </c>
      <c r="D386" s="1" t="n">
        <v>46066</v>
      </c>
      <c r="E386" s="1" t="n">
        <v>46314</v>
      </c>
      <c r="F386" t="inlineStr">
        <is>
          <t>ÖSTERGÖTLANDS LÄN</t>
        </is>
      </c>
      <c r="G386" t="inlineStr">
        <is>
          <t>MOTALA</t>
        </is>
      </c>
      <c r="H386" t="inlineStr">
        <is>
          <t>Sveaskog</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41898-2022</t>
        </is>
      </c>
      <c r="B387" t="inlineStr">
        <is>
          <t>avverkningsanmälan</t>
        </is>
      </c>
      <c r="C387" t="inlineStr">
        <is>
          <t>Föryngringsavverkning</t>
        </is>
      </c>
      <c r="D387" s="1" t="n">
        <v>44830</v>
      </c>
      <c r="E387" s="1" t="n">
        <v>46314</v>
      </c>
      <c r="F387" t="inlineStr">
        <is>
          <t>ÖSTERGÖTLANDS LÄN</t>
        </is>
      </c>
      <c r="G387" t="inlineStr">
        <is>
          <t>MOTALA</t>
        </is>
      </c>
      <c r="H387" t="inlineStr">
        <is>
          <t>Sveaskog</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4873-2024</t>
        </is>
      </c>
      <c r="B388" t="inlineStr">
        <is>
          <t>avverkningsanmälan</t>
        </is>
      </c>
      <c r="C388" t="inlineStr">
        <is>
          <t>Föryngringsavverkning</t>
        </is>
      </c>
      <c r="D388" s="1" t="n">
        <v>45329</v>
      </c>
      <c r="E388" s="1" t="n">
        <v>46314</v>
      </c>
      <c r="F388" t="inlineStr">
        <is>
          <t>ÖSTERGÖTLANDS LÄN</t>
        </is>
      </c>
      <c r="G388" t="inlineStr">
        <is>
          <t>MOTALA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735-2023</t>
        </is>
      </c>
      <c r="B389" t="inlineStr">
        <is>
          <t>avverkningsanmälan</t>
        </is>
      </c>
      <c r="C389" t="inlineStr">
        <is>
          <t>Föryngringsavverkning</t>
        </is>
      </c>
      <c r="D389" s="1" t="n">
        <v>44931</v>
      </c>
      <c r="E389" s="1" t="n">
        <v>46314</v>
      </c>
      <c r="F389" t="inlineStr">
        <is>
          <t>ÖSTERGÖTLANDS LÄN</t>
        </is>
      </c>
      <c r="G389" t="inlineStr">
        <is>
          <t>MOTALA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7034-2024</t>
        </is>
      </c>
      <c r="B390" t="inlineStr">
        <is>
          <t>avverkningsanmälan</t>
        </is>
      </c>
      <c r="C390" t="inlineStr">
        <is>
          <t>Föryngringsavverkning</t>
        </is>
      </c>
      <c r="D390" s="1" t="n">
        <v>45343</v>
      </c>
      <c r="E390" s="1" t="n">
        <v>46314</v>
      </c>
      <c r="F390" t="inlineStr">
        <is>
          <t>ÖSTERGÖTLANDS LÄN</t>
        </is>
      </c>
      <c r="G390" t="inlineStr">
        <is>
          <t>MOTALA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26338-2023</t>
        </is>
      </c>
      <c r="B391" t="inlineStr">
        <is>
          <t>avverkningsanmälan</t>
        </is>
      </c>
      <c r="C391" t="inlineStr">
        <is>
          <t>Föryngringsavverkning</t>
        </is>
      </c>
      <c r="D391" s="1" t="n">
        <v>45091</v>
      </c>
      <c r="E391" s="1" t="n">
        <v>46314</v>
      </c>
      <c r="F391" t="inlineStr">
        <is>
          <t>ÖSTERGÖTLANDS LÄN</t>
        </is>
      </c>
      <c r="G391" t="inlineStr">
        <is>
          <t>MOTALA</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59570-2022</t>
        </is>
      </c>
      <c r="B392" t="inlineStr">
        <is>
          <t>avverkningsanmälan</t>
        </is>
      </c>
      <c r="C392" t="inlineStr">
        <is>
          <t>Föryngringsavverkning</t>
        </is>
      </c>
      <c r="D392" s="1" t="n">
        <v>44907</v>
      </c>
      <c r="E392" s="1" t="n">
        <v>46314</v>
      </c>
      <c r="F392" t="inlineStr">
        <is>
          <t>ÖSTERGÖTLANDS LÄN</t>
        </is>
      </c>
      <c r="G392" t="inlineStr">
        <is>
          <t>MOTALA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4403-2022</t>
        </is>
      </c>
      <c r="B393" t="inlineStr">
        <is>
          <t>avverkningsanmälan</t>
        </is>
      </c>
      <c r="C393" t="inlineStr">
        <is>
          <t>Föryngringsavverkning</t>
        </is>
      </c>
      <c r="D393" s="1" t="n">
        <v>44589</v>
      </c>
      <c r="E393" s="1" t="n">
        <v>46314</v>
      </c>
      <c r="F393" t="inlineStr">
        <is>
          <t>ÖSTERGÖTLANDS LÄN</t>
        </is>
      </c>
      <c r="G393" t="inlineStr">
        <is>
          <t>MOTALA</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34561-2026</t>
        </is>
      </c>
      <c r="B394" t="inlineStr">
        <is>
          <t>avverkningsanmälan</t>
        </is>
      </c>
      <c r="C394" t="inlineStr">
        <is>
          <t>Föryngringsavverkning</t>
        </is>
      </c>
      <c r="D394" s="1" t="n">
        <v>46255</v>
      </c>
      <c r="E394" s="1" t="n">
        <v>46314</v>
      </c>
      <c r="F394" t="inlineStr">
        <is>
          <t>ÖSTERGÖTLANDS LÄN</t>
        </is>
      </c>
      <c r="G394" t="inlineStr">
        <is>
          <t>MOTALA</t>
        </is>
      </c>
      <c r="H394" t="inlineStr">
        <is>
          <t>Sveaskog</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35145-2026</t>
        </is>
      </c>
      <c r="B395" t="inlineStr">
        <is>
          <t>avverkningsanmälan</t>
        </is>
      </c>
      <c r="C395" t="inlineStr">
        <is>
          <t>Föryngringsavverkning</t>
        </is>
      </c>
      <c r="D395" s="1" t="n">
        <v>46259</v>
      </c>
      <c r="E395" s="1" t="n">
        <v>46314</v>
      </c>
      <c r="F395" t="inlineStr">
        <is>
          <t>ÖSTERGÖTLANDS LÄN</t>
        </is>
      </c>
      <c r="G395" t="inlineStr">
        <is>
          <t>MOTALA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34559-2026</t>
        </is>
      </c>
      <c r="B396" t="inlineStr">
        <is>
          <t>avverkningsanmälan</t>
        </is>
      </c>
      <c r="C396" t="inlineStr">
        <is>
          <t>Föryngringsavverkning</t>
        </is>
      </c>
      <c r="D396" s="1" t="n">
        <v>46255</v>
      </c>
      <c r="E396" s="1" t="n">
        <v>46314</v>
      </c>
      <c r="F396" t="inlineStr">
        <is>
          <t>ÖSTERGÖTLANDS LÄN</t>
        </is>
      </c>
      <c r="G396" t="inlineStr">
        <is>
          <t>MOTALA</t>
        </is>
      </c>
      <c r="H396" t="inlineStr">
        <is>
          <t>Sveaskog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53781-2024</t>
        </is>
      </c>
      <c r="B397" t="inlineStr">
        <is>
          <t>avverkningsanmälan</t>
        </is>
      </c>
      <c r="C397" t="inlineStr">
        <is>
          <t>Föryngringsavverkning</t>
        </is>
      </c>
      <c r="D397" s="1" t="n">
        <v>45615</v>
      </c>
      <c r="E397" s="1" t="n">
        <v>46314</v>
      </c>
      <c r="F397" t="inlineStr">
        <is>
          <t>ÖSTERGÖTLANDS LÄN</t>
        </is>
      </c>
      <c r="G397" t="inlineStr">
        <is>
          <t>MOTALA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21309-2025</t>
        </is>
      </c>
      <c r="B398" t="inlineStr">
        <is>
          <t>avverkningsanmälan</t>
        </is>
      </c>
      <c r="C398" t="inlineStr">
        <is>
          <t>Föryngringsavverkning</t>
        </is>
      </c>
      <c r="D398" s="1" t="n">
        <v>45781</v>
      </c>
      <c r="E398" s="1" t="n">
        <v>46314</v>
      </c>
      <c r="F398" t="inlineStr">
        <is>
          <t>ÖSTERGÖTLANDS LÄN</t>
        </is>
      </c>
      <c r="G398" t="inlineStr">
        <is>
          <t>MOTALA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41121-2026</t>
        </is>
      </c>
      <c r="B399" t="inlineStr">
        <is>
          <t>avverkningsanmälan</t>
        </is>
      </c>
      <c r="C399" t="inlineStr">
        <is>
          <t>Avverkning för annat ändamål</t>
        </is>
      </c>
      <c r="D399" s="1" t="n">
        <v>46300</v>
      </c>
      <c r="E399" s="1" t="n">
        <v>46314</v>
      </c>
      <c r="F399" t="inlineStr">
        <is>
          <t>ÖSTERGÖTLANDS LÄN</t>
        </is>
      </c>
      <c r="G399" t="inlineStr">
        <is>
          <t>MOTALA</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8352-2025</t>
        </is>
      </c>
      <c r="B400" t="inlineStr">
        <is>
          <t>avverkningsanmälan</t>
        </is>
      </c>
      <c r="C400" t="inlineStr">
        <is>
          <t>Föryngringsavverkning</t>
        </is>
      </c>
      <c r="D400" s="1" t="n">
        <v>45708</v>
      </c>
      <c r="E400" s="1" t="n">
        <v>46314</v>
      </c>
      <c r="F400" t="inlineStr">
        <is>
          <t>ÖSTERGÖTLANDS LÄN</t>
        </is>
      </c>
      <c r="G400" t="inlineStr">
        <is>
          <t>MOTALA</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58678-2024</t>
        </is>
      </c>
      <c r="B401" t="inlineStr">
        <is>
          <t>avverkningsanmälan</t>
        </is>
      </c>
      <c r="C401" t="inlineStr">
        <is>
          <t>Föryngringsavverkning</t>
        </is>
      </c>
      <c r="D401" s="1" t="n">
        <v>45632</v>
      </c>
      <c r="E401" s="1" t="n">
        <v>46314</v>
      </c>
      <c r="F401" t="inlineStr">
        <is>
          <t>ÖSTERGÖTLANDS LÄN</t>
        </is>
      </c>
      <c r="G401" t="inlineStr">
        <is>
          <t>MOTALA</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34557-2026</t>
        </is>
      </c>
      <c r="B402" t="inlineStr">
        <is>
          <t>avverkningsanmälan</t>
        </is>
      </c>
      <c r="C402" t="inlineStr">
        <is>
          <t>Föryngringsavverkning</t>
        </is>
      </c>
      <c r="D402" s="1" t="n">
        <v>46255</v>
      </c>
      <c r="E402" s="1" t="n">
        <v>46314</v>
      </c>
      <c r="F402" t="inlineStr">
        <is>
          <t>ÖSTERGÖTLANDS LÄN</t>
        </is>
      </c>
      <c r="G402" t="inlineStr">
        <is>
          <t>MOTALA</t>
        </is>
      </c>
      <c r="H402" t="inlineStr">
        <is>
          <t>Sveaskog</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34560-2026</t>
        </is>
      </c>
      <c r="B403" t="inlineStr">
        <is>
          <t>avverkningsanmälan</t>
        </is>
      </c>
      <c r="C403" t="inlineStr">
        <is>
          <t>Föryngringsavverkning</t>
        </is>
      </c>
      <c r="D403" s="1" t="n">
        <v>46255</v>
      </c>
      <c r="E403" s="1" t="n">
        <v>46314</v>
      </c>
      <c r="F403" t="inlineStr">
        <is>
          <t>ÖSTERGÖTLANDS LÄN</t>
        </is>
      </c>
      <c r="G403" t="inlineStr">
        <is>
          <t>MOTALA</t>
        </is>
      </c>
      <c r="H403" t="inlineStr">
        <is>
          <t>Sveaskog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58997-2022</t>
        </is>
      </c>
      <c r="B404" t="inlineStr">
        <is>
          <t>avverkningsanmälan</t>
        </is>
      </c>
      <c r="C404" t="inlineStr">
        <is>
          <t>Föryngringsavverkning</t>
        </is>
      </c>
      <c r="D404" s="1" t="n">
        <v>44903</v>
      </c>
      <c r="E404" s="1" t="n">
        <v>46314</v>
      </c>
      <c r="F404" t="inlineStr">
        <is>
          <t>ÖSTERGÖTLANDS LÄN</t>
        </is>
      </c>
      <c r="G404" t="inlineStr">
        <is>
          <t>MOTALA</t>
        </is>
      </c>
      <c r="H404" t="inlineStr">
        <is>
          <t>Allmännings- och besparingsskogar</t>
        </is>
      </c>
      <c r="I404" t="n">
        <v>37.7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26606-2024</t>
        </is>
      </c>
      <c r="B405" t="inlineStr">
        <is>
          <t>avverkningsanmälan</t>
        </is>
      </c>
      <c r="C405" t="inlineStr">
        <is>
          <t>Föryngringsavverkning</t>
        </is>
      </c>
      <c r="D405" s="1" t="n">
        <v>45469</v>
      </c>
      <c r="E405" s="1" t="n">
        <v>46314</v>
      </c>
      <c r="F405" t="inlineStr">
        <is>
          <t>ÖSTERGÖTLANDS LÄN</t>
        </is>
      </c>
      <c r="G405" t="inlineStr">
        <is>
          <t>MOTALA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48058-2024</t>
        </is>
      </c>
      <c r="B406" t="inlineStr">
        <is>
          <t>avverkningsanmälan</t>
        </is>
      </c>
      <c r="C406" t="inlineStr">
        <is>
          <t>Föryngringsavverkning</t>
        </is>
      </c>
      <c r="D406" s="1" t="n">
        <v>45589</v>
      </c>
      <c r="E406" s="1" t="n">
        <v>46314</v>
      </c>
      <c r="F406" t="inlineStr">
        <is>
          <t>ÖSTERGÖTLANDS LÄN</t>
        </is>
      </c>
      <c r="G406" t="inlineStr">
        <is>
          <t>MOTALA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51728-2024</t>
        </is>
      </c>
      <c r="B407" t="inlineStr">
        <is>
          <t>avverkningsanmälan</t>
        </is>
      </c>
      <c r="C407" t="inlineStr">
        <is>
          <t>Föryngringsavverkning</t>
        </is>
      </c>
      <c r="D407" s="1" t="n">
        <v>45604</v>
      </c>
      <c r="E407" s="1" t="n">
        <v>46314</v>
      </c>
      <c r="F407" t="inlineStr">
        <is>
          <t>ÖSTERGÖTLANDS LÄN</t>
        </is>
      </c>
      <c r="G407" t="inlineStr">
        <is>
          <t>MOTALA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51648-2023</t>
        </is>
      </c>
      <c r="B408" t="inlineStr">
        <is>
          <t>avverkningsanmälan</t>
        </is>
      </c>
      <c r="C408" t="inlineStr">
        <is>
          <t>Föryngringsavverkning</t>
        </is>
      </c>
      <c r="D408" s="1" t="n">
        <v>45222</v>
      </c>
      <c r="E408" s="1" t="n">
        <v>46314</v>
      </c>
      <c r="F408" t="inlineStr">
        <is>
          <t>ÖSTERGÖTLANDS LÄN</t>
        </is>
      </c>
      <c r="G408" t="inlineStr">
        <is>
          <t>MOTALA</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42297-2026</t>
        </is>
      </c>
      <c r="B409" t="inlineStr">
        <is>
          <t>avverkningsanmälan</t>
        </is>
      </c>
      <c r="C409" t="inlineStr">
        <is>
          <t>Föryngringsavverkning</t>
        </is>
      </c>
      <c r="D409" s="1" t="n">
        <v>46307</v>
      </c>
      <c r="E409" s="1" t="n">
        <v>46314</v>
      </c>
      <c r="F409" t="inlineStr">
        <is>
          <t>ÖSTERGÖTLANDS LÄN</t>
        </is>
      </c>
      <c r="G409" t="inlineStr">
        <is>
          <t>MOTALA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42298-2026</t>
        </is>
      </c>
      <c r="B410" t="inlineStr">
        <is>
          <t>avverkningsanmälan</t>
        </is>
      </c>
      <c r="C410" t="inlineStr">
        <is>
          <t>Föryngringsavverkning</t>
        </is>
      </c>
      <c r="D410" s="1" t="n">
        <v>46307</v>
      </c>
      <c r="E410" s="1" t="n">
        <v>46314</v>
      </c>
      <c r="F410" t="inlineStr">
        <is>
          <t>ÖSTERGÖTLANDS LÄN</t>
        </is>
      </c>
      <c r="G410" t="inlineStr">
        <is>
          <t>MOTALA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1074-2025</t>
        </is>
      </c>
      <c r="B411" t="inlineStr">
        <is>
          <t>avverkningsanmälan</t>
        </is>
      </c>
      <c r="C411" t="inlineStr">
        <is>
          <t>Föryngringsavverkning</t>
        </is>
      </c>
      <c r="D411" s="1" t="n">
        <v>45666</v>
      </c>
      <c r="E411" s="1" t="n">
        <v>46314</v>
      </c>
      <c r="F411" t="inlineStr">
        <is>
          <t>ÖSTERGÖTLANDS LÄN</t>
        </is>
      </c>
      <c r="G411" t="inlineStr">
        <is>
          <t>MOTALA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38881-2024</t>
        </is>
      </c>
      <c r="B412" t="inlineStr">
        <is>
          <t>avverkningsanmälan</t>
        </is>
      </c>
      <c r="C412" t="inlineStr">
        <is>
          <t>Föryngringsavverkning</t>
        </is>
      </c>
      <c r="D412" s="1" t="n">
        <v>45547</v>
      </c>
      <c r="E412" s="1" t="n">
        <v>46314</v>
      </c>
      <c r="F412" t="inlineStr">
        <is>
          <t>ÖSTERGÖTLANDS LÄN</t>
        </is>
      </c>
      <c r="G412" t="inlineStr">
        <is>
          <t>MOTALA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57506-2024</t>
        </is>
      </c>
      <c r="B413" t="inlineStr">
        <is>
          <t>avverkningsanmälan</t>
        </is>
      </c>
      <c r="C413" t="inlineStr">
        <is>
          <t>Föryngringsavverkning</t>
        </is>
      </c>
      <c r="D413" s="1" t="n">
        <v>45629</v>
      </c>
      <c r="E413" s="1" t="n">
        <v>46314</v>
      </c>
      <c r="F413" t="inlineStr">
        <is>
          <t>ÖSTERGÖTLANDS LÄN</t>
        </is>
      </c>
      <c r="G413" t="inlineStr">
        <is>
          <t>MOTALA</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60669-2024</t>
        </is>
      </c>
      <c r="B414" t="inlineStr">
        <is>
          <t>avverkningsanmälan</t>
        </is>
      </c>
      <c r="C414" t="inlineStr">
        <is>
          <t>Föryngringsavverkning</t>
        </is>
      </c>
      <c r="D414" s="1" t="n">
        <v>45644</v>
      </c>
      <c r="E414" s="1" t="n">
        <v>46314</v>
      </c>
      <c r="F414" t="inlineStr">
        <is>
          <t>ÖSTERGÖTLANDS LÄN</t>
        </is>
      </c>
      <c r="G414" t="inlineStr">
        <is>
          <t>MOTALA</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57681-2024</t>
        </is>
      </c>
      <c r="B415" t="inlineStr">
        <is>
          <t>avverkningsanmälan</t>
        </is>
      </c>
      <c r="C415" t="inlineStr">
        <is>
          <t>Föryngringsavverkning</t>
        </is>
      </c>
      <c r="D415" s="1" t="n">
        <v>45630</v>
      </c>
      <c r="E415" s="1" t="n">
        <v>46314</v>
      </c>
      <c r="F415" t="inlineStr">
        <is>
          <t>ÖSTERGÖTLANDS LÄN</t>
        </is>
      </c>
      <c r="G415" t="inlineStr">
        <is>
          <t>MOTALA</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4979-2025</t>
        </is>
      </c>
      <c r="B416" t="inlineStr">
        <is>
          <t>avverkningsanmälan</t>
        </is>
      </c>
      <c r="C416" t="inlineStr">
        <is>
          <t>Föryngringsavverkning</t>
        </is>
      </c>
      <c r="D416" s="1" t="n">
        <v>45689</v>
      </c>
      <c r="E416" s="1" t="n">
        <v>46314</v>
      </c>
      <c r="F416" t="inlineStr">
        <is>
          <t>ÖSTERGÖTLANDS LÄN</t>
        </is>
      </c>
      <c r="G416" t="inlineStr">
        <is>
          <t>MOTALA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24468-2025</t>
        </is>
      </c>
      <c r="B417" t="inlineStr">
        <is>
          <t>avverkningsanmälan</t>
        </is>
      </c>
      <c r="C417" t="inlineStr">
        <is>
          <t>Föryngringsavverkning</t>
        </is>
      </c>
      <c r="D417" s="1" t="n">
        <v>45798</v>
      </c>
      <c r="E417" s="1" t="n">
        <v>46314</v>
      </c>
      <c r="F417" t="inlineStr">
        <is>
          <t>ÖSTERGÖTLANDS LÄN</t>
        </is>
      </c>
      <c r="G417" t="inlineStr">
        <is>
          <t>MOTALA</t>
        </is>
      </c>
      <c r="H417" t="inlineStr">
        <is>
          <t>Sveaskog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25600-2025</t>
        </is>
      </c>
      <c r="B418" t="inlineStr">
        <is>
          <t>avverkningsanmälan</t>
        </is>
      </c>
      <c r="C418" t="inlineStr">
        <is>
          <t>Föryngringsavverkning</t>
        </is>
      </c>
      <c r="D418" s="1" t="n">
        <v>45803</v>
      </c>
      <c r="E418" s="1" t="n">
        <v>46314</v>
      </c>
      <c r="F418" t="inlineStr">
        <is>
          <t>ÖSTERGÖTLANDS LÄN</t>
        </is>
      </c>
      <c r="G418" t="inlineStr">
        <is>
          <t>MOTALA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30606-2023</t>
        </is>
      </c>
      <c r="B419" t="inlineStr">
        <is>
          <t>avverkningsanmälan</t>
        </is>
      </c>
      <c r="C419" t="inlineStr">
        <is>
          <t>Föryngringsavverkning</t>
        </is>
      </c>
      <c r="D419" s="1" t="n">
        <v>45112</v>
      </c>
      <c r="E419" s="1" t="n">
        <v>46314</v>
      </c>
      <c r="F419" t="inlineStr">
        <is>
          <t>ÖSTERGÖTLANDS LÄN</t>
        </is>
      </c>
      <c r="G419" t="inlineStr">
        <is>
          <t>MOTALA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58331-2022</t>
        </is>
      </c>
      <c r="B420" t="inlineStr">
        <is>
          <t>avverkningsanmälan</t>
        </is>
      </c>
      <c r="C420" t="inlineStr">
        <is>
          <t>Föryngringsavverkning</t>
        </is>
      </c>
      <c r="D420" s="1" t="n">
        <v>44901</v>
      </c>
      <c r="E420" s="1" t="n">
        <v>46314</v>
      </c>
      <c r="F420" t="inlineStr">
        <is>
          <t>ÖSTERGÖTLANDS LÄN</t>
        </is>
      </c>
      <c r="G420" t="inlineStr">
        <is>
          <t>MOTALA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30640-2025</t>
        </is>
      </c>
      <c r="B421" t="inlineStr">
        <is>
          <t>avverkningsanmälan</t>
        </is>
      </c>
      <c r="C421" t="inlineStr">
        <is>
          <t>Föryngringsavverkning</t>
        </is>
      </c>
      <c r="D421" s="1" t="n">
        <v>45831</v>
      </c>
      <c r="E421" s="1" t="n">
        <v>46314</v>
      </c>
      <c r="F421" t="inlineStr">
        <is>
          <t>ÖSTERGÖTLANDS LÄN</t>
        </is>
      </c>
      <c r="G421" t="inlineStr">
        <is>
          <t>MOTALA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32756-2025</t>
        </is>
      </c>
      <c r="B422" t="inlineStr">
        <is>
          <t>avverkningsanmälan</t>
        </is>
      </c>
      <c r="C422" t="inlineStr">
        <is>
          <t>Föryngringsavverkning</t>
        </is>
      </c>
      <c r="D422" s="1" t="n">
        <v>45839</v>
      </c>
      <c r="E422" s="1" t="n">
        <v>46314</v>
      </c>
      <c r="F422" t="inlineStr">
        <is>
          <t>ÖSTERGÖTLANDS LÄN</t>
        </is>
      </c>
      <c r="G422" t="inlineStr">
        <is>
          <t>MOTALA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27896-2025</t>
        </is>
      </c>
      <c r="B423" t="inlineStr">
        <is>
          <t>avverkningsanmälan</t>
        </is>
      </c>
      <c r="C423" t="inlineStr">
        <is>
          <t>Avverkning för annat ändamål</t>
        </is>
      </c>
      <c r="D423" s="1" t="n">
        <v>45817</v>
      </c>
      <c r="E423" s="1" t="n">
        <v>46314</v>
      </c>
      <c r="F423" t="inlineStr">
        <is>
          <t>ÖSTERGÖTLANDS LÄN</t>
        </is>
      </c>
      <c r="G423" t="inlineStr">
        <is>
          <t>MOTALA</t>
        </is>
      </c>
      <c r="I423" t="n">
        <v>8.4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3030-2024</t>
        </is>
      </c>
      <c r="B424" t="inlineStr">
        <is>
          <t>avverkningsanmälan</t>
        </is>
      </c>
      <c r="C424" t="inlineStr">
        <is>
          <t>Föryngringsavverkning</t>
        </is>
      </c>
      <c r="D424" s="1" t="n">
        <v>45316</v>
      </c>
      <c r="E424" s="1" t="n">
        <v>46314</v>
      </c>
      <c r="F424" t="inlineStr">
        <is>
          <t>ÖSTERGÖTLANDS LÄN</t>
        </is>
      </c>
      <c r="G424" t="inlineStr">
        <is>
          <t>MOTALA</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44861-2024</t>
        </is>
      </c>
      <c r="B425" t="inlineStr">
        <is>
          <t>avverkningsanmälan</t>
        </is>
      </c>
      <c r="C425" t="inlineStr">
        <is>
          <t>Föryngringsavverkning</t>
        </is>
      </c>
      <c r="D425" s="1" t="n">
        <v>45575</v>
      </c>
      <c r="E425" s="1" t="n">
        <v>46314</v>
      </c>
      <c r="F425" t="inlineStr">
        <is>
          <t>ÖSTERGÖTLANDS LÄN</t>
        </is>
      </c>
      <c r="G425" t="inlineStr">
        <is>
          <t>MOTALA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11463-2025</t>
        </is>
      </c>
      <c r="B426" t="inlineStr">
        <is>
          <t>avverkningsanmälan</t>
        </is>
      </c>
      <c r="C426" t="inlineStr">
        <is>
          <t>Föryngringsavverkning</t>
        </is>
      </c>
      <c r="D426" s="1" t="n">
        <v>45726</v>
      </c>
      <c r="E426" s="1" t="n">
        <v>46314</v>
      </c>
      <c r="F426" t="inlineStr">
        <is>
          <t>ÖSTERGÖTLANDS LÄN</t>
        </is>
      </c>
      <c r="G426" t="inlineStr">
        <is>
          <t>MOTALA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26350-2025</t>
        </is>
      </c>
      <c r="B427" t="inlineStr">
        <is>
          <t>avverkningsanmälan</t>
        </is>
      </c>
      <c r="C427" t="inlineStr">
        <is>
          <t>Föryngringsavverkning</t>
        </is>
      </c>
      <c r="D427" s="1" t="n">
        <v>45805</v>
      </c>
      <c r="E427" s="1" t="n">
        <v>46314</v>
      </c>
      <c r="F427" t="inlineStr">
        <is>
          <t>ÖSTERGÖTLANDS LÄN</t>
        </is>
      </c>
      <c r="G427" t="inlineStr">
        <is>
          <t>MOTALA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24507-2025</t>
        </is>
      </c>
      <c r="B428" t="inlineStr">
        <is>
          <t>avverkningsanmälan</t>
        </is>
      </c>
      <c r="C428" t="inlineStr">
        <is>
          <t>Föryngringsavverkning</t>
        </is>
      </c>
      <c r="D428" s="1" t="n">
        <v>45798</v>
      </c>
      <c r="E428" s="1" t="n">
        <v>46314</v>
      </c>
      <c r="F428" t="inlineStr">
        <is>
          <t>ÖSTERGÖTLANDS LÄN</t>
        </is>
      </c>
      <c r="G428" t="inlineStr">
        <is>
          <t>MOTALA</t>
        </is>
      </c>
      <c r="H428" t="inlineStr">
        <is>
          <t>Sveaskog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15543-2025</t>
        </is>
      </c>
      <c r="B429" t="inlineStr">
        <is>
          <t>avverkningsanmälan</t>
        </is>
      </c>
      <c r="C429" t="inlineStr">
        <is>
          <t>Föryngringsavverkning</t>
        </is>
      </c>
      <c r="D429" s="1" t="n">
        <v>45747</v>
      </c>
      <c r="E429" s="1" t="n">
        <v>46314</v>
      </c>
      <c r="F429" t="inlineStr">
        <is>
          <t>ÖSTERGÖTLANDS LÄN</t>
        </is>
      </c>
      <c r="G429" t="inlineStr">
        <is>
          <t>MOTALA</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44868-2024</t>
        </is>
      </c>
      <c r="B430" t="inlineStr">
        <is>
          <t>avverkningsanmälan</t>
        </is>
      </c>
      <c r="C430" t="inlineStr">
        <is>
          <t>Föryngringsavverkning</t>
        </is>
      </c>
      <c r="D430" s="1" t="n">
        <v>45575</v>
      </c>
      <c r="E430" s="1" t="n">
        <v>46314</v>
      </c>
      <c r="F430" t="inlineStr">
        <is>
          <t>ÖSTERGÖTLANDS LÄN</t>
        </is>
      </c>
      <c r="G430" t="inlineStr">
        <is>
          <t>MOTALA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46314</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46314</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46314</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46314</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46314</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46314</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46314</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46314</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46314</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46314</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2026-10-19T02:00:21Z</dcterms:created>
  <dcterms:modified xmlns:dcterms="http://purl.org/dc/terms/" xmlns:xsi="http://www.w3.org/2001/XMLSchema-instance" xsi:type="dcterms:W3CDTF">2026-10-19T02:00:21Z</dcterms:modified>
</cp:coreProperties>
</file>