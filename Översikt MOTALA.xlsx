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45877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45877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45877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45877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45877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45877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45877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45877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45877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45877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45877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45877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45877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45877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45877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45877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45877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45877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45877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45877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62813-2019</t>
        </is>
      </c>
      <c r="B22" s="1" t="n">
        <v>43790</v>
      </c>
      <c r="C22" s="1" t="n">
        <v>45877</v>
      </c>
      <c r="D22" t="inlineStr">
        <is>
          <t>ÖSTERGÖTLANDS LÄN</t>
        </is>
      </c>
      <c r="E22" t="inlineStr">
        <is>
          <t>MOTALA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62813-2019 artfynd.xlsx", "A 62813-2019")</f>
        <v/>
      </c>
      <c r="T22">
        <f>HYPERLINK("https://klasma.github.io/Logging_0583/kartor/A 62813-2019 karta.png", "A 62813-2019")</f>
        <v/>
      </c>
      <c r="V22">
        <f>HYPERLINK("https://klasma.github.io/Logging_0583/klagomål/A 62813-2019 FSC-klagomål.docx", "A 62813-2019")</f>
        <v/>
      </c>
      <c r="W22">
        <f>HYPERLINK("https://klasma.github.io/Logging_0583/klagomålsmail/A 62813-2019 FSC-klagomål mail.docx", "A 62813-2019")</f>
        <v/>
      </c>
      <c r="X22">
        <f>HYPERLINK("https://klasma.github.io/Logging_0583/tillsyn/A 62813-2019 tillsynsbegäran.docx", "A 62813-2019")</f>
        <v/>
      </c>
      <c r="Y22">
        <f>HYPERLINK("https://klasma.github.io/Logging_0583/tillsynsmail/A 62813-2019 tillsynsbegäran mail.docx", "A 62813-2019")</f>
        <v/>
      </c>
    </row>
    <row r="23" ht="15" customHeight="1">
      <c r="A23" t="inlineStr">
        <is>
          <t>A 10926-2020</t>
        </is>
      </c>
      <c r="B23" s="1" t="n">
        <v>43889</v>
      </c>
      <c r="C23" s="1" t="n">
        <v>45877</v>
      </c>
      <c r="D23" t="inlineStr">
        <is>
          <t>ÖSTERGÖTLANDS LÄN</t>
        </is>
      </c>
      <c r="E23" t="inlineStr">
        <is>
          <t>MOTALA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Buskvicker</t>
        </is>
      </c>
      <c r="S23">
        <f>HYPERLINK("https://klasma.github.io/Logging_0583/artfynd/A 10926-2020 artfynd.xlsx", "A 10926-2020")</f>
        <v/>
      </c>
      <c r="T23">
        <f>HYPERLINK("https://klasma.github.io/Logging_0583/kartor/A 10926-2020 karta.png", "A 10926-2020")</f>
        <v/>
      </c>
      <c r="V23">
        <f>HYPERLINK("https://klasma.github.io/Logging_0583/klagomål/A 10926-2020 FSC-klagomål.docx", "A 10926-2020")</f>
        <v/>
      </c>
      <c r="W23">
        <f>HYPERLINK("https://klasma.github.io/Logging_0583/klagomålsmail/A 10926-2020 FSC-klagomål mail.docx", "A 10926-2020")</f>
        <v/>
      </c>
      <c r="X23">
        <f>HYPERLINK("https://klasma.github.io/Logging_0583/tillsyn/A 10926-2020 tillsynsbegäran.docx", "A 10926-2020")</f>
        <v/>
      </c>
      <c r="Y23">
        <f>HYPERLINK("https://klasma.github.io/Logging_0583/tillsynsmail/A 10926-2020 tillsynsbegäran mail.docx", "A 10926-2020")</f>
        <v/>
      </c>
    </row>
    <row r="24" ht="15" customHeight="1">
      <c r="A24" t="inlineStr">
        <is>
          <t>A 16730-2020</t>
        </is>
      </c>
      <c r="B24" s="1" t="n">
        <v>43920</v>
      </c>
      <c r="C24" s="1" t="n">
        <v>45877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Skuggmossa</t>
        </is>
      </c>
      <c r="S24">
        <f>HYPERLINK("https://klasma.github.io/Logging_0583/artfynd/A 16730-2020 artfynd.xlsx", "A 16730-2020")</f>
        <v/>
      </c>
      <c r="T24">
        <f>HYPERLINK("https://klasma.github.io/Logging_0583/kartor/A 16730-2020 karta.png", "A 16730-2020")</f>
        <v/>
      </c>
      <c r="V24">
        <f>HYPERLINK("https://klasma.github.io/Logging_0583/klagomål/A 16730-2020 FSC-klagomål.docx", "A 16730-2020")</f>
        <v/>
      </c>
      <c r="W24">
        <f>HYPERLINK("https://klasma.github.io/Logging_0583/klagomålsmail/A 16730-2020 FSC-klagomål mail.docx", "A 16730-2020")</f>
        <v/>
      </c>
      <c r="X24">
        <f>HYPERLINK("https://klasma.github.io/Logging_0583/tillsyn/A 16730-2020 tillsynsbegäran.docx", "A 16730-2020")</f>
        <v/>
      </c>
      <c r="Y24">
        <f>HYPERLINK("https://klasma.github.io/Logging_0583/tillsynsmail/A 16730-2020 tillsynsbegäran mail.docx", "A 16730-2020")</f>
        <v/>
      </c>
    </row>
    <row r="25" ht="15" customHeight="1">
      <c r="A25" t="inlineStr">
        <is>
          <t>A 19096-2020</t>
        </is>
      </c>
      <c r="B25" s="1" t="n">
        <v>43936</v>
      </c>
      <c r="C25" s="1" t="n">
        <v>45877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HYPERLINK("https://klasma.github.io/Logging_0583/artfynd/A 19096-2020 artfynd.xlsx", "A 19096-2020")</f>
        <v/>
      </c>
      <c r="T25">
        <f>HYPERLINK("https://klasma.github.io/Logging_0583/kartor/A 19096-2020 karta.png", "A 19096-2020")</f>
        <v/>
      </c>
      <c r="V25">
        <f>HYPERLINK("https://klasma.github.io/Logging_0583/klagomål/A 19096-2020 FSC-klagomål.docx", "A 19096-2020")</f>
        <v/>
      </c>
      <c r="W25">
        <f>HYPERLINK("https://klasma.github.io/Logging_0583/klagomålsmail/A 19096-2020 FSC-klagomål mail.docx", "A 19096-2020")</f>
        <v/>
      </c>
      <c r="X25">
        <f>HYPERLINK("https://klasma.github.io/Logging_0583/tillsyn/A 19096-2020 tillsynsbegäran.docx", "A 19096-2020")</f>
        <v/>
      </c>
      <c r="Y25">
        <f>HYPERLINK("https://klasma.github.io/Logging_0583/tillsynsmail/A 19096-2020 tillsynsbegäran mail.docx", "A 19096-2020")</f>
        <v/>
      </c>
    </row>
    <row r="26" ht="15" customHeight="1">
      <c r="A26" t="inlineStr">
        <is>
          <t>A 19101-2020</t>
        </is>
      </c>
      <c r="B26" s="1" t="n">
        <v>43936</v>
      </c>
      <c r="C26" s="1" t="n">
        <v>45877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HYPERLINK("https://klasma.github.io/Logging_0583/artfynd/A 19101-2020 artfynd.xlsx", "A 19101-2020")</f>
        <v/>
      </c>
      <c r="T26">
        <f>HYPERLINK("https://klasma.github.io/Logging_0583/kartor/A 19101-2020 karta.png", "A 19101-2020")</f>
        <v/>
      </c>
      <c r="V26">
        <f>HYPERLINK("https://klasma.github.io/Logging_0583/klagomål/A 19101-2020 FSC-klagomål.docx", "A 19101-2020")</f>
        <v/>
      </c>
      <c r="W26">
        <f>HYPERLINK("https://klasma.github.io/Logging_0583/klagomålsmail/A 19101-2020 FSC-klagomål mail.docx", "A 19101-2020")</f>
        <v/>
      </c>
      <c r="X26">
        <f>HYPERLINK("https://klasma.github.io/Logging_0583/tillsyn/A 19101-2020 tillsynsbegäran.docx", "A 19101-2020")</f>
        <v/>
      </c>
      <c r="Y26">
        <f>HYPERLINK("https://klasma.github.io/Logging_0583/tillsynsmail/A 19101-2020 tillsynsbegäran mail.docx", "A 19101-2020")</f>
        <v/>
      </c>
      <c r="Z26">
        <f>HYPERLINK("https://klasma.github.io/Logging_0583/fåglar/A 19101-2020 prioriterade fågelarter.docx", "A 19101-2020")</f>
        <v/>
      </c>
    </row>
    <row r="27" ht="15" customHeight="1">
      <c r="A27" t="inlineStr">
        <is>
          <t>A 42014-2020</t>
        </is>
      </c>
      <c r="B27" s="1" t="n">
        <v>44075</v>
      </c>
      <c r="C27" s="1" t="n">
        <v>45877</v>
      </c>
      <c r="D27" t="inlineStr">
        <is>
          <t>ÖSTERGÖTLANDS LÄN</t>
        </is>
      </c>
      <c r="E27" t="inlineStr">
        <is>
          <t>MOTALA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42014-2020 artfynd.xlsx", "A 42014-2020")</f>
        <v/>
      </c>
      <c r="T27">
        <f>HYPERLINK("https://klasma.github.io/Logging_0583/kartor/A 42014-2020 karta.png", "A 42014-2020")</f>
        <v/>
      </c>
      <c r="V27">
        <f>HYPERLINK("https://klasma.github.io/Logging_0583/klagomål/A 42014-2020 FSC-klagomål.docx", "A 42014-2020")</f>
        <v/>
      </c>
      <c r="W27">
        <f>HYPERLINK("https://klasma.github.io/Logging_0583/klagomålsmail/A 42014-2020 FSC-klagomål mail.docx", "A 42014-2020")</f>
        <v/>
      </c>
      <c r="X27">
        <f>HYPERLINK("https://klasma.github.io/Logging_0583/tillsyn/A 42014-2020 tillsynsbegäran.docx", "A 42014-2020")</f>
        <v/>
      </c>
      <c r="Y27">
        <f>HYPERLINK("https://klasma.github.io/Logging_0583/tillsynsmail/A 42014-2020 tillsynsbegäran mail.docx", "A 42014-2020")</f>
        <v/>
      </c>
    </row>
    <row r="28" ht="15" customHeight="1">
      <c r="A28" t="inlineStr">
        <is>
          <t>A 16870-2021</t>
        </is>
      </c>
      <c r="B28" s="1" t="n">
        <v>44293</v>
      </c>
      <c r="C28" s="1" t="n">
        <v>45877</v>
      </c>
      <c r="D28" t="inlineStr">
        <is>
          <t>ÖSTERGÖTLANDS LÄN</t>
        </is>
      </c>
      <c r="E28" t="inlineStr">
        <is>
          <t>MOTALA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16870-2021 artfynd.xlsx", "A 16870-2021")</f>
        <v/>
      </c>
      <c r="T28">
        <f>HYPERLINK("https://klasma.github.io/Logging_0583/kartor/A 16870-2021 karta.png", "A 16870-2021")</f>
        <v/>
      </c>
      <c r="V28">
        <f>HYPERLINK("https://klasma.github.io/Logging_0583/klagomål/A 16870-2021 FSC-klagomål.docx", "A 16870-2021")</f>
        <v/>
      </c>
      <c r="W28">
        <f>HYPERLINK("https://klasma.github.io/Logging_0583/klagomålsmail/A 16870-2021 FSC-klagomål mail.docx", "A 16870-2021")</f>
        <v/>
      </c>
      <c r="X28">
        <f>HYPERLINK("https://klasma.github.io/Logging_0583/tillsyn/A 16870-2021 tillsynsbegäran.docx", "A 16870-2021")</f>
        <v/>
      </c>
      <c r="Y28">
        <f>HYPERLINK("https://klasma.github.io/Logging_0583/tillsynsmail/A 16870-2021 tillsynsbegäran mail.docx", "A 16870-2021")</f>
        <v/>
      </c>
    </row>
    <row r="29" ht="15" customHeight="1">
      <c r="A29" t="inlineStr">
        <is>
          <t>A 49305-2021</t>
        </is>
      </c>
      <c r="B29" s="1" t="n">
        <v>44454</v>
      </c>
      <c r="C29" s="1" t="n">
        <v>45877</v>
      </c>
      <c r="D29" t="inlineStr">
        <is>
          <t>ÖSTERGÖTLANDS LÄN</t>
        </is>
      </c>
      <c r="E29" t="inlineStr">
        <is>
          <t>MOTALA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HYPERLINK("https://klasma.github.io/Logging_0583/artfynd/A 49305-2021 artfynd.xlsx", "A 49305-2021")</f>
        <v/>
      </c>
      <c r="T29">
        <f>HYPERLINK("https://klasma.github.io/Logging_0583/kartor/A 49305-2021 karta.png", "A 49305-2021")</f>
        <v/>
      </c>
      <c r="V29">
        <f>HYPERLINK("https://klasma.github.io/Logging_0583/klagomål/A 49305-2021 FSC-klagomål.docx", "A 49305-2021")</f>
        <v/>
      </c>
      <c r="W29">
        <f>HYPERLINK("https://klasma.github.io/Logging_0583/klagomålsmail/A 49305-2021 FSC-klagomål mail.docx", "A 49305-2021")</f>
        <v/>
      </c>
      <c r="X29">
        <f>HYPERLINK("https://klasma.github.io/Logging_0583/tillsyn/A 49305-2021 tillsynsbegäran.docx", "A 49305-2021")</f>
        <v/>
      </c>
      <c r="Y29">
        <f>HYPERLINK("https://klasma.github.io/Logging_0583/tillsynsmail/A 49305-2021 tillsynsbegäran mail.docx", "A 49305-2021")</f>
        <v/>
      </c>
    </row>
    <row r="30" ht="15" customHeight="1">
      <c r="A30" t="inlineStr">
        <is>
          <t>A 72192-2021</t>
        </is>
      </c>
      <c r="B30" s="1" t="n">
        <v>44544</v>
      </c>
      <c r="C30" s="1" t="n">
        <v>45877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HYPERLINK("https://klasma.github.io/Logging_0583/artfynd/A 72192-2021 artfynd.xlsx", "A 72192-2021")</f>
        <v/>
      </c>
      <c r="T30">
        <f>HYPERLINK("https://klasma.github.io/Logging_0583/kartor/A 72192-2021 karta.png", "A 72192-2021")</f>
        <v/>
      </c>
      <c r="V30">
        <f>HYPERLINK("https://klasma.github.io/Logging_0583/klagomål/A 72192-2021 FSC-klagomål.docx", "A 72192-2021")</f>
        <v/>
      </c>
      <c r="W30">
        <f>HYPERLINK("https://klasma.github.io/Logging_0583/klagomålsmail/A 72192-2021 FSC-klagomål mail.docx", "A 72192-2021")</f>
        <v/>
      </c>
      <c r="X30">
        <f>HYPERLINK("https://klasma.github.io/Logging_0583/tillsyn/A 72192-2021 tillsynsbegäran.docx", "A 72192-2021")</f>
        <v/>
      </c>
      <c r="Y30">
        <f>HYPERLINK("https://klasma.github.io/Logging_0583/tillsynsmail/A 72192-2021 tillsynsbegäran mail.docx", "A 72192-2021")</f>
        <v/>
      </c>
    </row>
    <row r="31" ht="15" customHeight="1">
      <c r="A31" t="inlineStr">
        <is>
          <t>A 24255-2022</t>
        </is>
      </c>
      <c r="B31" s="1" t="n">
        <v>44725</v>
      </c>
      <c r="C31" s="1" t="n">
        <v>45877</v>
      </c>
      <c r="D31" t="inlineStr">
        <is>
          <t>ÖSTERGÖTLANDS LÄN</t>
        </is>
      </c>
      <c r="E31" t="inlineStr">
        <is>
          <t>MOTALA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HYPERLINK("https://klasma.github.io/Logging_0583/artfynd/A 24255-2022 artfynd.xlsx", "A 24255-2022")</f>
        <v/>
      </c>
      <c r="T31">
        <f>HYPERLINK("https://klasma.github.io/Logging_0583/kartor/A 24255-2022 karta.png", "A 24255-2022")</f>
        <v/>
      </c>
      <c r="V31">
        <f>HYPERLINK("https://klasma.github.io/Logging_0583/klagomål/A 24255-2022 FSC-klagomål.docx", "A 24255-2022")</f>
        <v/>
      </c>
      <c r="W31">
        <f>HYPERLINK("https://klasma.github.io/Logging_0583/klagomålsmail/A 24255-2022 FSC-klagomål mail.docx", "A 24255-2022")</f>
        <v/>
      </c>
      <c r="X31">
        <f>HYPERLINK("https://klasma.github.io/Logging_0583/tillsyn/A 24255-2022 tillsynsbegäran.docx", "A 24255-2022")</f>
        <v/>
      </c>
      <c r="Y31">
        <f>HYPERLINK("https://klasma.github.io/Logging_0583/tillsynsmail/A 24255-2022 tillsynsbegäran mail.docx", "A 24255-2022")</f>
        <v/>
      </c>
    </row>
    <row r="32" ht="15" customHeight="1">
      <c r="A32" t="inlineStr">
        <is>
          <t>A 52523-2022</t>
        </is>
      </c>
      <c r="B32" s="1" t="n">
        <v>44874</v>
      </c>
      <c r="C32" s="1" t="n">
        <v>45877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HYPERLINK("https://klasma.github.io/Logging_0583/artfynd/A 52523-2022 artfynd.xlsx", "A 52523-2022")</f>
        <v/>
      </c>
      <c r="T32">
        <f>HYPERLINK("https://klasma.github.io/Logging_0583/kartor/A 52523-2022 karta.png", "A 52523-2022")</f>
        <v/>
      </c>
      <c r="V32">
        <f>HYPERLINK("https://klasma.github.io/Logging_0583/klagomål/A 52523-2022 FSC-klagomål.docx", "A 52523-2022")</f>
        <v/>
      </c>
      <c r="W32">
        <f>HYPERLINK("https://klasma.github.io/Logging_0583/klagomålsmail/A 52523-2022 FSC-klagomål mail.docx", "A 52523-2022")</f>
        <v/>
      </c>
      <c r="X32">
        <f>HYPERLINK("https://klasma.github.io/Logging_0583/tillsyn/A 52523-2022 tillsynsbegäran.docx", "A 52523-2022")</f>
        <v/>
      </c>
      <c r="Y32">
        <f>HYPERLINK("https://klasma.github.io/Logging_0583/tillsynsmail/A 52523-2022 tillsynsbegäran mail.docx", "A 52523-2022")</f>
        <v/>
      </c>
    </row>
    <row r="33" ht="15" customHeight="1">
      <c r="A33" t="inlineStr">
        <is>
          <t>A 43262-2023</t>
        </is>
      </c>
      <c r="B33" s="1" t="n">
        <v>45183</v>
      </c>
      <c r="C33" s="1" t="n">
        <v>45877</v>
      </c>
      <c r="D33" t="inlineStr">
        <is>
          <t>ÖSTERGÖTLANDS LÄN</t>
        </is>
      </c>
      <c r="E33" t="inlineStr">
        <is>
          <t>MOTALA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HYPERLINK("https://klasma.github.io/Logging_0583/artfynd/A 43262-2023 artfynd.xlsx", "A 43262-2023")</f>
        <v/>
      </c>
      <c r="T33">
        <f>HYPERLINK("https://klasma.github.io/Logging_0583/kartor/A 43262-2023 karta.png", "A 43262-2023")</f>
        <v/>
      </c>
      <c r="V33">
        <f>HYPERLINK("https://klasma.github.io/Logging_0583/klagomål/A 43262-2023 FSC-klagomål.docx", "A 43262-2023")</f>
        <v/>
      </c>
      <c r="W33">
        <f>HYPERLINK("https://klasma.github.io/Logging_0583/klagomålsmail/A 43262-2023 FSC-klagomål mail.docx", "A 43262-2023")</f>
        <v/>
      </c>
      <c r="X33">
        <f>HYPERLINK("https://klasma.github.io/Logging_0583/tillsyn/A 43262-2023 tillsynsbegäran.docx", "A 43262-2023")</f>
        <v/>
      </c>
      <c r="Y33">
        <f>HYPERLINK("https://klasma.github.io/Logging_0583/tillsynsmail/A 43262-2023 tillsynsbegäran mail.docx", "A 43262-2023")</f>
        <v/>
      </c>
    </row>
    <row r="34" ht="15" customHeight="1">
      <c r="A34" t="inlineStr">
        <is>
          <t>A 50174-2023</t>
        </is>
      </c>
      <c r="B34" s="1" t="n">
        <v>45215</v>
      </c>
      <c r="C34" s="1" t="n">
        <v>45877</v>
      </c>
      <c r="D34" t="inlineStr">
        <is>
          <t>ÖSTERGÖTLANDS LÄN</t>
        </is>
      </c>
      <c r="E34" t="inlineStr">
        <is>
          <t>MOTALA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HYPERLINK("https://klasma.github.io/Logging_0583/artfynd/A 50174-2023 artfynd.xlsx", "A 50174-2023")</f>
        <v/>
      </c>
      <c r="T34">
        <f>HYPERLINK("https://klasma.github.io/Logging_0583/kartor/A 50174-2023 karta.png", "A 50174-2023")</f>
        <v/>
      </c>
      <c r="V34">
        <f>HYPERLINK("https://klasma.github.io/Logging_0583/klagomål/A 50174-2023 FSC-klagomål.docx", "A 50174-2023")</f>
        <v/>
      </c>
      <c r="W34">
        <f>HYPERLINK("https://klasma.github.io/Logging_0583/klagomålsmail/A 50174-2023 FSC-klagomål mail.docx", "A 50174-2023")</f>
        <v/>
      </c>
      <c r="X34">
        <f>HYPERLINK("https://klasma.github.io/Logging_0583/tillsyn/A 50174-2023 tillsynsbegäran.docx", "A 50174-2023")</f>
        <v/>
      </c>
      <c r="Y34">
        <f>HYPERLINK("https://klasma.github.io/Logging_0583/tillsynsmail/A 50174-2023 tillsynsbegäran mail.docx", "A 50174-2023")</f>
        <v/>
      </c>
      <c r="Z34">
        <f>HYPERLINK("https://klasma.github.io/Logging_0583/fåglar/A 50174-2023 prioriterade fågelarter.docx", "A 50174-2023")</f>
        <v/>
      </c>
    </row>
    <row r="35" ht="15" customHeight="1">
      <c r="A35" t="inlineStr">
        <is>
          <t>A 517-2024</t>
        </is>
      </c>
      <c r="B35" s="1" t="n">
        <v>45299</v>
      </c>
      <c r="C35" s="1" t="n">
        <v>45877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HYPERLINK("https://klasma.github.io/Logging_0583/artfynd/A 517-2024 artfynd.xlsx", "A 517-2024")</f>
        <v/>
      </c>
      <c r="T35">
        <f>HYPERLINK("https://klasma.github.io/Logging_0583/kartor/A 517-2024 karta.png", "A 517-2024")</f>
        <v/>
      </c>
      <c r="V35">
        <f>HYPERLINK("https://klasma.github.io/Logging_0583/klagomål/A 517-2024 FSC-klagomål.docx", "A 517-2024")</f>
        <v/>
      </c>
      <c r="W35">
        <f>HYPERLINK("https://klasma.github.io/Logging_0583/klagomålsmail/A 517-2024 FSC-klagomål mail.docx", "A 517-2024")</f>
        <v/>
      </c>
      <c r="X35">
        <f>HYPERLINK("https://klasma.github.io/Logging_0583/tillsyn/A 517-2024 tillsynsbegäran.docx", "A 517-2024")</f>
        <v/>
      </c>
      <c r="Y35">
        <f>HYPERLINK("https://klasma.github.io/Logging_0583/tillsynsmail/A 517-2024 tillsynsbegäran mail.docx", "A 517-2024")</f>
        <v/>
      </c>
      <c r="Z35">
        <f>HYPERLINK("https://klasma.github.io/Logging_0583/fåglar/A 517-2024 prioriterade fågelarter.docx", "A 517-2024")</f>
        <v/>
      </c>
    </row>
    <row r="36" ht="15" customHeight="1">
      <c r="A36" t="inlineStr">
        <is>
          <t>A 8094-2024</t>
        </is>
      </c>
      <c r="B36" s="1" t="n">
        <v>45351</v>
      </c>
      <c r="C36" s="1" t="n">
        <v>45877</v>
      </c>
      <c r="D36" t="inlineStr">
        <is>
          <t>ÖSTERGÖTLANDS LÄN</t>
        </is>
      </c>
      <c r="E36" t="inlineStr">
        <is>
          <t>MOTALA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HYPERLINK("https://klasma.github.io/Logging_0583/artfynd/A 8094-2024 artfynd.xlsx", "A 8094-2024")</f>
        <v/>
      </c>
      <c r="T36">
        <f>HYPERLINK("https://klasma.github.io/Logging_0583/kartor/A 8094-2024 karta.png", "A 8094-2024")</f>
        <v/>
      </c>
      <c r="V36">
        <f>HYPERLINK("https://klasma.github.io/Logging_0583/klagomål/A 8094-2024 FSC-klagomål.docx", "A 8094-2024")</f>
        <v/>
      </c>
      <c r="W36">
        <f>HYPERLINK("https://klasma.github.io/Logging_0583/klagomålsmail/A 8094-2024 FSC-klagomål mail.docx", "A 8094-2024")</f>
        <v/>
      </c>
      <c r="X36">
        <f>HYPERLINK("https://klasma.github.io/Logging_0583/tillsyn/A 8094-2024 tillsynsbegäran.docx", "A 8094-2024")</f>
        <v/>
      </c>
      <c r="Y36">
        <f>HYPERLINK("https://klasma.github.io/Logging_0583/tillsynsmail/A 8094-2024 tillsynsbegäran mail.docx", "A 8094-2024")</f>
        <v/>
      </c>
    </row>
    <row r="37" ht="15" customHeight="1">
      <c r="A37" t="inlineStr">
        <is>
          <t>A 24686-2024</t>
        </is>
      </c>
      <c r="B37" s="1" t="n">
        <v>45460</v>
      </c>
      <c r="C37" s="1" t="n">
        <v>45877</v>
      </c>
      <c r="D37" t="inlineStr">
        <is>
          <t>ÖSTERGÖTLANDS LÄN</t>
        </is>
      </c>
      <c r="E37" t="inlineStr">
        <is>
          <t>MOTALA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HYPERLINK("https://klasma.github.io/Logging_0583/artfynd/A 24686-2024 artfynd.xlsx", "A 24686-2024")</f>
        <v/>
      </c>
      <c r="T37">
        <f>HYPERLINK("https://klasma.github.io/Logging_0583/kartor/A 24686-2024 karta.png", "A 24686-2024")</f>
        <v/>
      </c>
      <c r="V37">
        <f>HYPERLINK("https://klasma.github.io/Logging_0583/klagomål/A 24686-2024 FSC-klagomål.docx", "A 24686-2024")</f>
        <v/>
      </c>
      <c r="W37">
        <f>HYPERLINK("https://klasma.github.io/Logging_0583/klagomålsmail/A 24686-2024 FSC-klagomål mail.docx", "A 24686-2024")</f>
        <v/>
      </c>
      <c r="X37">
        <f>HYPERLINK("https://klasma.github.io/Logging_0583/tillsyn/A 24686-2024 tillsynsbegäran.docx", "A 24686-2024")</f>
        <v/>
      </c>
      <c r="Y37">
        <f>HYPERLINK("https://klasma.github.io/Logging_0583/tillsynsmail/A 24686-2024 tillsynsbegäran mail.docx", "A 24686-2024")</f>
        <v/>
      </c>
    </row>
    <row r="38" ht="15" customHeight="1">
      <c r="A38" t="inlineStr">
        <is>
          <t>A 29590-2024</t>
        </is>
      </c>
      <c r="B38" s="1" t="n">
        <v>45484</v>
      </c>
      <c r="C38" s="1" t="n">
        <v>45877</v>
      </c>
      <c r="D38" t="inlineStr">
        <is>
          <t>ÖSTERGÖTLANDS LÄN</t>
        </is>
      </c>
      <c r="E38" t="inlineStr">
        <is>
          <t>MOTALA</t>
        </is>
      </c>
      <c r="F38" t="inlineStr">
        <is>
          <t>Holmen skog AB</t>
        </is>
      </c>
      <c r="G38" t="n">
        <v>15.9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HYPERLINK("https://klasma.github.io/Logging_0583/artfynd/A 29590-2024 artfynd.xlsx", "A 29590-2024")</f>
        <v/>
      </c>
      <c r="T38">
        <f>HYPERLINK("https://klasma.github.io/Logging_0583/kartor/A 29590-2024 karta.png", "A 29590-2024")</f>
        <v/>
      </c>
      <c r="V38">
        <f>HYPERLINK("https://klasma.github.io/Logging_0583/klagomål/A 29590-2024 FSC-klagomål.docx", "A 29590-2024")</f>
        <v/>
      </c>
      <c r="W38">
        <f>HYPERLINK("https://klasma.github.io/Logging_0583/klagomålsmail/A 29590-2024 FSC-klagomål mail.docx", "A 29590-2024")</f>
        <v/>
      </c>
      <c r="X38">
        <f>HYPERLINK("https://klasma.github.io/Logging_0583/tillsyn/A 29590-2024 tillsynsbegäran.docx", "A 29590-2024")</f>
        <v/>
      </c>
      <c r="Y38">
        <f>HYPERLINK("https://klasma.github.io/Logging_0583/tillsynsmail/A 29590-2024 tillsynsbegäran mail.docx", "A 29590-2024")</f>
        <v/>
      </c>
    </row>
    <row r="39" ht="15" customHeight="1">
      <c r="A39" t="inlineStr">
        <is>
          <t>A 37706-2024</t>
        </is>
      </c>
      <c r="B39" s="1" t="n">
        <v>45541</v>
      </c>
      <c r="C39" s="1" t="n">
        <v>45877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Backtimjan</t>
        </is>
      </c>
      <c r="S39">
        <f>HYPERLINK("https://klasma.github.io/Logging_0583/artfynd/A 37706-2024 artfynd.xlsx", "A 37706-2024")</f>
        <v/>
      </c>
      <c r="T39">
        <f>HYPERLINK("https://klasma.github.io/Logging_0583/kartor/A 37706-2024 karta.png", "A 37706-2024")</f>
        <v/>
      </c>
      <c r="V39">
        <f>HYPERLINK("https://klasma.github.io/Logging_0583/klagomål/A 37706-2024 FSC-klagomål.docx", "A 37706-2024")</f>
        <v/>
      </c>
      <c r="W39">
        <f>HYPERLINK("https://klasma.github.io/Logging_0583/klagomålsmail/A 37706-2024 FSC-klagomål mail.docx", "A 37706-2024")</f>
        <v/>
      </c>
      <c r="X39">
        <f>HYPERLINK("https://klasma.github.io/Logging_0583/tillsyn/A 37706-2024 tillsynsbegäran.docx", "A 37706-2024")</f>
        <v/>
      </c>
      <c r="Y39">
        <f>HYPERLINK("https://klasma.github.io/Logging_0583/tillsynsmail/A 37706-2024 tillsynsbegäran mail.docx", "A 37706-2024")</f>
        <v/>
      </c>
    </row>
    <row r="40" ht="15" customHeight="1">
      <c r="A40" t="inlineStr">
        <is>
          <t>A 10565-2025</t>
        </is>
      </c>
      <c r="B40" s="1" t="n">
        <v>45721</v>
      </c>
      <c r="C40" s="1" t="n">
        <v>45877</v>
      </c>
      <c r="D40" t="inlineStr">
        <is>
          <t>ÖSTERGÖTLANDS LÄN</t>
        </is>
      </c>
      <c r="E40" t="inlineStr">
        <is>
          <t>MOTALA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HYPERLINK("https://klasma.github.io/Logging_050583/artfynd/A 10565-2025 artfynd.xlsx", "A 10565-2025")</f>
        <v/>
      </c>
      <c r="T40">
        <f>HYPERLINK("https://klasma.github.io/Logging_050583/kartor/A 10565-2025 karta.png", "A 10565-2025")</f>
        <v/>
      </c>
      <c r="V40">
        <f>HYPERLINK("https://klasma.github.io/Logging_050583/klagomål/A 10565-2025 FSC-klagomål.docx", "A 10565-2025")</f>
        <v/>
      </c>
      <c r="W40">
        <f>HYPERLINK("https://klasma.github.io/Logging_050583/klagomålsmail/A 10565-2025 FSC-klagomål mail.docx", "A 10565-2025")</f>
        <v/>
      </c>
      <c r="X40">
        <f>HYPERLINK("https://klasma.github.io/Logging_050583/tillsyn/A 10565-2025 tillsynsbegäran.docx", "A 10565-2025")</f>
        <v/>
      </c>
      <c r="Y40">
        <f>HYPERLINK("https://klasma.github.io/Logging_050583/tillsynsmail/A 10565-2025 tillsynsbegäran mail.docx", "A 10565-2025")</f>
        <v/>
      </c>
    </row>
    <row r="41" ht="15" customHeight="1">
      <c r="A41" t="inlineStr">
        <is>
          <t>A 18729-2025</t>
        </is>
      </c>
      <c r="B41" s="1" t="n">
        <v>45763</v>
      </c>
      <c r="C41" s="1" t="n">
        <v>45877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HYPERLINK("https://klasma.github.io/Logging_050583/artfynd/A 18729-2025 artfynd.xlsx", "A 18729-2025")</f>
        <v/>
      </c>
      <c r="T41">
        <f>HYPERLINK("https://klasma.github.io/Logging_050583/kartor/A 18729-2025 karta.png", "A 18729-2025")</f>
        <v/>
      </c>
      <c r="V41">
        <f>HYPERLINK("https://klasma.github.io/Logging_050583/klagomål/A 18729-2025 FSC-klagomål.docx", "A 18729-2025")</f>
        <v/>
      </c>
      <c r="W41">
        <f>HYPERLINK("https://klasma.github.io/Logging_050583/klagomålsmail/A 18729-2025 FSC-klagomål mail.docx", "A 18729-2025")</f>
        <v/>
      </c>
      <c r="X41">
        <f>HYPERLINK("https://klasma.github.io/Logging_050583/tillsyn/A 18729-2025 tillsynsbegäran.docx", "A 18729-2025")</f>
        <v/>
      </c>
      <c r="Y41">
        <f>HYPERLINK("https://klasma.github.io/Logging_050583/tillsynsmail/A 18729-2025 tillsynsbegäran mail.docx", "A 18729-2025")</f>
        <v/>
      </c>
    </row>
    <row r="42" ht="15" customHeight="1">
      <c r="A42" t="inlineStr">
        <is>
          <t>A 24554-2025</t>
        </is>
      </c>
      <c r="B42" s="1" t="n">
        <v>45798</v>
      </c>
      <c r="C42" s="1" t="n">
        <v>45877</v>
      </c>
      <c r="D42" t="inlineStr">
        <is>
          <t>ÖSTERGÖTLANDS LÄN</t>
        </is>
      </c>
      <c r="E42" t="inlineStr">
        <is>
          <t>MOTALA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HYPERLINK("https://klasma.github.io/Logging_050583/artfynd/A 24554-2025 artfynd.xlsx", "A 24554-2025")</f>
        <v/>
      </c>
      <c r="T42">
        <f>HYPERLINK("https://klasma.github.io/Logging_050583/kartor/A 24554-2025 karta.png", "A 24554-2025")</f>
        <v/>
      </c>
      <c r="V42">
        <f>HYPERLINK("https://klasma.github.io/Logging_050583/klagomål/A 24554-2025 FSC-klagomål.docx", "A 24554-2025")</f>
        <v/>
      </c>
      <c r="W42">
        <f>HYPERLINK("https://klasma.github.io/Logging_050583/klagomålsmail/A 24554-2025 FSC-klagomål mail.docx", "A 24554-2025")</f>
        <v/>
      </c>
      <c r="X42">
        <f>HYPERLINK("https://klasma.github.io/Logging_050583/tillsyn/A 24554-2025 tillsynsbegäran.docx", "A 24554-2025")</f>
        <v/>
      </c>
      <c r="Y42">
        <f>HYPERLINK("https://klasma.github.io/Logging_050583/tillsynsmail/A 24554-2025 tillsynsbegäran mail.docx", "A 24554-2025")</f>
        <v/>
      </c>
    </row>
    <row r="43" ht="15" customHeight="1">
      <c r="A43" t="inlineStr">
        <is>
          <t>A 17627-2019</t>
        </is>
      </c>
      <c r="B43" s="1" t="n">
        <v>43556</v>
      </c>
      <c r="C43" s="1" t="n">
        <v>45877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18589-2019</t>
        </is>
      </c>
      <c r="B44" s="1" t="n">
        <v>43558</v>
      </c>
      <c r="C44" s="1" t="n">
        <v>45877</v>
      </c>
      <c r="D44" t="inlineStr">
        <is>
          <t>ÖSTERGÖTLANDS LÄN</t>
        </is>
      </c>
      <c r="E44" t="inlineStr">
        <is>
          <t>MOTALA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19218-2019</t>
        </is>
      </c>
      <c r="B45" s="1" t="n">
        <v>43564</v>
      </c>
      <c r="C45" s="1" t="n">
        <v>45877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19628-2019</t>
        </is>
      </c>
      <c r="B46" s="1" t="n">
        <v>43566</v>
      </c>
      <c r="C46" s="1" t="n">
        <v>45877</v>
      </c>
      <c r="D46" t="inlineStr">
        <is>
          <t>ÖSTERGÖTLANDS LÄN</t>
        </is>
      </c>
      <c r="E46" t="inlineStr">
        <is>
          <t>MOTALA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20116-2019</t>
        </is>
      </c>
      <c r="B47" s="1" t="n">
        <v>43570</v>
      </c>
      <c r="C47" s="1" t="n">
        <v>45877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20837-2019</t>
        </is>
      </c>
      <c r="B48" s="1" t="n">
        <v>43576</v>
      </c>
      <c r="C48" s="1" t="n">
        <v>45877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22949-2019</t>
        </is>
      </c>
      <c r="B49" s="1" t="n">
        <v>43587</v>
      </c>
      <c r="C49" s="1" t="n">
        <v>45877</v>
      </c>
      <c r="D49" t="inlineStr">
        <is>
          <t>ÖSTERGÖTLANDS LÄN</t>
        </is>
      </c>
      <c r="E49" t="inlineStr">
        <is>
          <t>MOTALA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25867-2019</t>
        </is>
      </c>
      <c r="B50" s="1" t="n">
        <v>43608</v>
      </c>
      <c r="C50" s="1" t="n">
        <v>45877</v>
      </c>
      <c r="D50" t="inlineStr">
        <is>
          <t>ÖSTERGÖTLANDS LÄN</t>
        </is>
      </c>
      <c r="E50" t="inlineStr">
        <is>
          <t>MOTALA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25912-2019</t>
        </is>
      </c>
      <c r="B51" s="1" t="n">
        <v>43608</v>
      </c>
      <c r="C51" s="1" t="n">
        <v>45877</v>
      </c>
      <c r="D51" t="inlineStr">
        <is>
          <t>ÖSTERGÖTLANDS LÄN</t>
        </is>
      </c>
      <c r="E51" t="inlineStr">
        <is>
          <t>MOTALA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26186-2019</t>
        </is>
      </c>
      <c r="B52" s="1" t="n">
        <v>43609</v>
      </c>
      <c r="C52" s="1" t="n">
        <v>45877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26195-2019</t>
        </is>
      </c>
      <c r="B53" s="1" t="n">
        <v>43609</v>
      </c>
      <c r="C53" s="1" t="n">
        <v>45877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26191-2019</t>
        </is>
      </c>
      <c r="B54" s="1" t="n">
        <v>43609</v>
      </c>
      <c r="C54" s="1" t="n">
        <v>45877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26206-2019</t>
        </is>
      </c>
      <c r="B55" s="1" t="n">
        <v>43609</v>
      </c>
      <c r="C55" s="1" t="n">
        <v>45877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26185-2019</t>
        </is>
      </c>
      <c r="B56" s="1" t="n">
        <v>43609</v>
      </c>
      <c r="C56" s="1" t="n">
        <v>45877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26188-2019</t>
        </is>
      </c>
      <c r="B57" s="1" t="n">
        <v>43609</v>
      </c>
      <c r="C57" s="1" t="n">
        <v>45877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26199-2019</t>
        </is>
      </c>
      <c r="B58" s="1" t="n">
        <v>43609</v>
      </c>
      <c r="C58" s="1" t="n">
        <v>45877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26534-2019</t>
        </is>
      </c>
      <c r="B59" s="1" t="n">
        <v>43612</v>
      </c>
      <c r="C59" s="1" t="n">
        <v>45877</v>
      </c>
      <c r="D59" t="inlineStr">
        <is>
          <t>ÖSTERGÖTLANDS LÄN</t>
        </is>
      </c>
      <c r="E59" t="inlineStr">
        <is>
          <t>MOTALA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27727-2019</t>
        </is>
      </c>
      <c r="B60" s="1" t="n">
        <v>43619</v>
      </c>
      <c r="C60" s="1" t="n">
        <v>45877</v>
      </c>
      <c r="D60" t="inlineStr">
        <is>
          <t>ÖSTERGÖTLANDS LÄN</t>
        </is>
      </c>
      <c r="E60" t="inlineStr">
        <is>
          <t>MOTALA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28044-2019</t>
        </is>
      </c>
      <c r="B61" s="1" t="n">
        <v>43621</v>
      </c>
      <c r="C61" s="1" t="n">
        <v>45877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28045-2019</t>
        </is>
      </c>
      <c r="B62" s="1" t="n">
        <v>43621</v>
      </c>
      <c r="C62" s="1" t="n">
        <v>45877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29391-2019</t>
        </is>
      </c>
      <c r="B63" s="1" t="n">
        <v>43629</v>
      </c>
      <c r="C63" s="1" t="n">
        <v>45877</v>
      </c>
      <c r="D63" t="inlineStr">
        <is>
          <t>ÖSTERGÖTLANDS LÄN</t>
        </is>
      </c>
      <c r="E63" t="inlineStr">
        <is>
          <t>MOTALA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29497-2019</t>
        </is>
      </c>
      <c r="B64" s="1" t="n">
        <v>43630</v>
      </c>
      <c r="C64" s="1" t="n">
        <v>45877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29966-2019</t>
        </is>
      </c>
      <c r="B65" s="1" t="n">
        <v>43633</v>
      </c>
      <c r="C65" s="1" t="n">
        <v>45877</v>
      </c>
      <c r="D65" t="inlineStr">
        <is>
          <t>ÖSTERGÖTLANDS LÄN</t>
        </is>
      </c>
      <c r="E65" t="inlineStr">
        <is>
          <t>MOTALA</t>
        </is>
      </c>
      <c r="G65" t="n">
        <v>48.6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29972-2019</t>
        </is>
      </c>
      <c r="B66" s="1" t="n">
        <v>43633</v>
      </c>
      <c r="C66" s="1" t="n">
        <v>45877</v>
      </c>
      <c r="D66" t="inlineStr">
        <is>
          <t>ÖSTERGÖTLANDS LÄN</t>
        </is>
      </c>
      <c r="E66" t="inlineStr">
        <is>
          <t>MOTALA</t>
        </is>
      </c>
      <c r="G66" t="n">
        <v>20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30064-2019</t>
        </is>
      </c>
      <c r="B67" s="1" t="n">
        <v>43633</v>
      </c>
      <c r="C67" s="1" t="n">
        <v>45877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30063-2019</t>
        </is>
      </c>
      <c r="B68" s="1" t="n">
        <v>43633</v>
      </c>
      <c r="C68" s="1" t="n">
        <v>45877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30066-2019</t>
        </is>
      </c>
      <c r="B69" s="1" t="n">
        <v>43633</v>
      </c>
      <c r="C69" s="1" t="n">
        <v>45877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30598-2019</t>
        </is>
      </c>
      <c r="B70" s="1" t="n">
        <v>43635</v>
      </c>
      <c r="C70" s="1" t="n">
        <v>45877</v>
      </c>
      <c r="D70" t="inlineStr">
        <is>
          <t>ÖSTERGÖTLANDS LÄN</t>
        </is>
      </c>
      <c r="E70" t="inlineStr">
        <is>
          <t>MOTALA</t>
        </is>
      </c>
      <c r="F70" t="inlineStr">
        <is>
          <t>Övriga statliga verk och myndigheter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31130-2019</t>
        </is>
      </c>
      <c r="B71" s="1" t="n">
        <v>43640</v>
      </c>
      <c r="C71" s="1" t="n">
        <v>45877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31135-2019</t>
        </is>
      </c>
      <c r="B72" s="1" t="n">
        <v>43640</v>
      </c>
      <c r="C72" s="1" t="n">
        <v>45877</v>
      </c>
      <c r="D72" t="inlineStr">
        <is>
          <t>ÖSTERGÖTLANDS LÄN</t>
        </is>
      </c>
      <c r="E72" t="inlineStr">
        <is>
          <t>MOTALA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31967-2019</t>
        </is>
      </c>
      <c r="B73" s="1" t="n">
        <v>43642</v>
      </c>
      <c r="C73" s="1" t="n">
        <v>45877</v>
      </c>
      <c r="D73" t="inlineStr">
        <is>
          <t>ÖSTERGÖTLANDS LÄN</t>
        </is>
      </c>
      <c r="E73" t="inlineStr">
        <is>
          <t>MOTALA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32036-2019</t>
        </is>
      </c>
      <c r="B74" s="1" t="n">
        <v>43643</v>
      </c>
      <c r="C74" s="1" t="n">
        <v>45877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33294-2019</t>
        </is>
      </c>
      <c r="B75" s="1" t="n">
        <v>43644</v>
      </c>
      <c r="C75" s="1" t="n">
        <v>45877</v>
      </c>
      <c r="D75" t="inlineStr">
        <is>
          <t>ÖSTERGÖTLANDS LÄN</t>
        </is>
      </c>
      <c r="E75" t="inlineStr">
        <is>
          <t>MOTALA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34042-2019</t>
        </is>
      </c>
      <c r="B76" s="1" t="n">
        <v>43654</v>
      </c>
      <c r="C76" s="1" t="n">
        <v>45877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35414-2019</t>
        </is>
      </c>
      <c r="B77" s="1" t="n">
        <v>43663</v>
      </c>
      <c r="C77" s="1" t="n">
        <v>45877</v>
      </c>
      <c r="D77" t="inlineStr">
        <is>
          <t>ÖSTERGÖTLANDS LÄN</t>
        </is>
      </c>
      <c r="E77" t="inlineStr">
        <is>
          <t>MOTALA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36476-2019</t>
        </is>
      </c>
      <c r="B78" s="1" t="n">
        <v>43665</v>
      </c>
      <c r="C78" s="1" t="n">
        <v>45877</v>
      </c>
      <c r="D78" t="inlineStr">
        <is>
          <t>ÖSTERGÖTLANDS LÄN</t>
        </is>
      </c>
      <c r="E78" t="inlineStr">
        <is>
          <t>MOTALA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36473-2019</t>
        </is>
      </c>
      <c r="B79" s="1" t="n">
        <v>43665</v>
      </c>
      <c r="C79" s="1" t="n">
        <v>45877</v>
      </c>
      <c r="D79" t="inlineStr">
        <is>
          <t>ÖSTERGÖTLANDS LÄN</t>
        </is>
      </c>
      <c r="E79" t="inlineStr">
        <is>
          <t>MOTALA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36475-2019</t>
        </is>
      </c>
      <c r="B80" s="1" t="n">
        <v>43665</v>
      </c>
      <c r="C80" s="1" t="n">
        <v>45877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36668-2019</t>
        </is>
      </c>
      <c r="B81" s="1" t="n">
        <v>43669</v>
      </c>
      <c r="C81" s="1" t="n">
        <v>45877</v>
      </c>
      <c r="D81" t="inlineStr">
        <is>
          <t>ÖSTERGÖTLANDS LÄN</t>
        </is>
      </c>
      <c r="E81" t="inlineStr">
        <is>
          <t>MOTALA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36674-2019</t>
        </is>
      </c>
      <c r="B82" s="1" t="n">
        <v>43669</v>
      </c>
      <c r="C82" s="1" t="n">
        <v>45877</v>
      </c>
      <c r="D82" t="inlineStr">
        <is>
          <t>ÖSTERGÖTLANDS LÄN</t>
        </is>
      </c>
      <c r="E82" t="inlineStr">
        <is>
          <t>MOTALA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36673-2019</t>
        </is>
      </c>
      <c r="B83" s="1" t="n">
        <v>43669</v>
      </c>
      <c r="C83" s="1" t="n">
        <v>45877</v>
      </c>
      <c r="D83" t="inlineStr">
        <is>
          <t>ÖSTERGÖTLANDS LÄN</t>
        </is>
      </c>
      <c r="E83" t="inlineStr">
        <is>
          <t>MOTALA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37006-2019</t>
        </is>
      </c>
      <c r="B84" s="1" t="n">
        <v>43675</v>
      </c>
      <c r="C84" s="1" t="n">
        <v>45877</v>
      </c>
      <c r="D84" t="inlineStr">
        <is>
          <t>ÖSTERGÖTLANDS LÄN</t>
        </is>
      </c>
      <c r="E84" t="inlineStr">
        <is>
          <t>MOTALA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37012-2019</t>
        </is>
      </c>
      <c r="B85" s="1" t="n">
        <v>43675</v>
      </c>
      <c r="C85" s="1" t="n">
        <v>45877</v>
      </c>
      <c r="D85" t="inlineStr">
        <is>
          <t>ÖSTERGÖTLANDS LÄN</t>
        </is>
      </c>
      <c r="E85" t="inlineStr">
        <is>
          <t>MOTALA</t>
        </is>
      </c>
      <c r="G85" t="n">
        <v>50.7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37229-2019</t>
        </is>
      </c>
      <c r="B86" s="1" t="n">
        <v>43677</v>
      </c>
      <c r="C86" s="1" t="n">
        <v>45877</v>
      </c>
      <c r="D86" t="inlineStr">
        <is>
          <t>ÖSTERGÖTLANDS LÄN</t>
        </is>
      </c>
      <c r="E86" t="inlineStr">
        <is>
          <t>MOTALA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37490-2019</t>
        </is>
      </c>
      <c r="B87" s="1" t="n">
        <v>43677</v>
      </c>
      <c r="C87" s="1" t="n">
        <v>45877</v>
      </c>
      <c r="D87" t="inlineStr">
        <is>
          <t>ÖSTERGÖTLANDS LÄN</t>
        </is>
      </c>
      <c r="E87" t="inlineStr">
        <is>
          <t>MOTALA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37492-2019</t>
        </is>
      </c>
      <c r="B88" s="1" t="n">
        <v>43677</v>
      </c>
      <c r="C88" s="1" t="n">
        <v>45877</v>
      </c>
      <c r="D88" t="inlineStr">
        <is>
          <t>ÖSTERGÖTLANDS LÄN</t>
        </is>
      </c>
      <c r="E88" t="inlineStr">
        <is>
          <t>MOTALA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37488-2019</t>
        </is>
      </c>
      <c r="B89" s="1" t="n">
        <v>43677</v>
      </c>
      <c r="C89" s="1" t="n">
        <v>45877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37564-2019</t>
        </is>
      </c>
      <c r="B90" s="1" t="n">
        <v>43678</v>
      </c>
      <c r="C90" s="1" t="n">
        <v>45877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37382-2019</t>
        </is>
      </c>
      <c r="B91" s="1" t="n">
        <v>43678</v>
      </c>
      <c r="C91" s="1" t="n">
        <v>45877</v>
      </c>
      <c r="D91" t="inlineStr">
        <is>
          <t>ÖSTERGÖTLANDS LÄN</t>
        </is>
      </c>
      <c r="E91" t="inlineStr">
        <is>
          <t>MOTALA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37567-2019</t>
        </is>
      </c>
      <c r="B92" s="1" t="n">
        <v>43678</v>
      </c>
      <c r="C92" s="1" t="n">
        <v>45877</v>
      </c>
      <c r="D92" t="inlineStr">
        <is>
          <t>ÖSTERGÖTLANDS LÄN</t>
        </is>
      </c>
      <c r="E92" t="inlineStr">
        <is>
          <t>MOTALA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37654-2019</t>
        </is>
      </c>
      <c r="B93" s="1" t="n">
        <v>43682</v>
      </c>
      <c r="C93" s="1" t="n">
        <v>45877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37934-2019</t>
        </is>
      </c>
      <c r="B94" s="1" t="n">
        <v>43683</v>
      </c>
      <c r="C94" s="1" t="n">
        <v>45877</v>
      </c>
      <c r="D94" t="inlineStr">
        <is>
          <t>ÖSTERGÖTLANDS LÄN</t>
        </is>
      </c>
      <c r="E94" t="inlineStr">
        <is>
          <t>MOTALA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37979-2019</t>
        </is>
      </c>
      <c r="B95" s="1" t="n">
        <v>43683</v>
      </c>
      <c r="C95" s="1" t="n">
        <v>45877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38028-2019</t>
        </is>
      </c>
      <c r="B96" s="1" t="n">
        <v>43683</v>
      </c>
      <c r="C96" s="1" t="n">
        <v>45877</v>
      </c>
      <c r="D96" t="inlineStr">
        <is>
          <t>ÖSTERGÖTLANDS LÄN</t>
        </is>
      </c>
      <c r="E96" t="inlineStr">
        <is>
          <t>MOTALA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38014-2019</t>
        </is>
      </c>
      <c r="B97" s="1" t="n">
        <v>43683</v>
      </c>
      <c r="C97" s="1" t="n">
        <v>45877</v>
      </c>
      <c r="D97" t="inlineStr">
        <is>
          <t>ÖSTERGÖTLANDS LÄN</t>
        </is>
      </c>
      <c r="E97" t="inlineStr">
        <is>
          <t>MOTALA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37932-2019</t>
        </is>
      </c>
      <c r="B98" s="1" t="n">
        <v>43683</v>
      </c>
      <c r="C98" s="1" t="n">
        <v>45877</v>
      </c>
      <c r="D98" t="inlineStr">
        <is>
          <t>ÖSTERGÖTLANDS LÄN</t>
        </is>
      </c>
      <c r="E98" t="inlineStr">
        <is>
          <t>MOTALA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38004-2019</t>
        </is>
      </c>
      <c r="B99" s="1" t="n">
        <v>43683</v>
      </c>
      <c r="C99" s="1" t="n">
        <v>45877</v>
      </c>
      <c r="D99" t="inlineStr">
        <is>
          <t>ÖSTERGÖTLANDS LÄN</t>
        </is>
      </c>
      <c r="E99" t="inlineStr">
        <is>
          <t>MOTALA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38437-2019</t>
        </is>
      </c>
      <c r="B100" s="1" t="n">
        <v>43685</v>
      </c>
      <c r="C100" s="1" t="n">
        <v>45877</v>
      </c>
      <c r="D100" t="inlineStr">
        <is>
          <t>ÖSTERGÖTLANDS LÄN</t>
        </is>
      </c>
      <c r="E100" t="inlineStr">
        <is>
          <t>MOTALA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39377-2019</t>
        </is>
      </c>
      <c r="B101" s="1" t="n">
        <v>43690</v>
      </c>
      <c r="C101" s="1" t="n">
        <v>45877</v>
      </c>
      <c r="D101" t="inlineStr">
        <is>
          <t>ÖSTERGÖTLANDS LÄN</t>
        </is>
      </c>
      <c r="E101" t="inlineStr">
        <is>
          <t>MOTALA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40454-2019</t>
        </is>
      </c>
      <c r="B102" s="1" t="n">
        <v>43690</v>
      </c>
      <c r="C102" s="1" t="n">
        <v>45877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40519-2019</t>
        </is>
      </c>
      <c r="B103" s="1" t="n">
        <v>43690</v>
      </c>
      <c r="C103" s="1" t="n">
        <v>45877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39831-2019</t>
        </is>
      </c>
      <c r="B104" s="1" t="n">
        <v>43692</v>
      </c>
      <c r="C104" s="1" t="n">
        <v>45877</v>
      </c>
      <c r="D104" t="inlineStr">
        <is>
          <t>ÖSTERGÖTLANDS LÄN</t>
        </is>
      </c>
      <c r="E104" t="inlineStr">
        <is>
          <t>MOTALA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40750-2019</t>
        </is>
      </c>
      <c r="B105" s="1" t="n">
        <v>43692</v>
      </c>
      <c r="C105" s="1" t="n">
        <v>45877</v>
      </c>
      <c r="D105" t="inlineStr">
        <is>
          <t>ÖSTERGÖTLANDS LÄN</t>
        </is>
      </c>
      <c r="E105" t="inlineStr">
        <is>
          <t>MOTALA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41148-2019</t>
        </is>
      </c>
      <c r="B106" s="1" t="n">
        <v>43698</v>
      </c>
      <c r="C106" s="1" t="n">
        <v>45877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41432-2019</t>
        </is>
      </c>
      <c r="B107" s="1" t="n">
        <v>43698</v>
      </c>
      <c r="C107" s="1" t="n">
        <v>45877</v>
      </c>
      <c r="D107" t="inlineStr">
        <is>
          <t>ÖSTERGÖTLANDS LÄN</t>
        </is>
      </c>
      <c r="E107" t="inlineStr">
        <is>
          <t>MOTALA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41434-2019</t>
        </is>
      </c>
      <c r="B108" s="1" t="n">
        <v>43698</v>
      </c>
      <c r="C108" s="1" t="n">
        <v>45877</v>
      </c>
      <c r="D108" t="inlineStr">
        <is>
          <t>ÖSTERGÖTLANDS LÄN</t>
        </is>
      </c>
      <c r="E108" t="inlineStr">
        <is>
          <t>MOTALA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42606-2019</t>
        </is>
      </c>
      <c r="B109" s="1" t="n">
        <v>43704</v>
      </c>
      <c r="C109" s="1" t="n">
        <v>45877</v>
      </c>
      <c r="D109" t="inlineStr">
        <is>
          <t>ÖSTERGÖTLANDS LÄN</t>
        </is>
      </c>
      <c r="E109" t="inlineStr">
        <is>
          <t>MOTALA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42840-2019</t>
        </is>
      </c>
      <c r="B110" s="1" t="n">
        <v>43705</v>
      </c>
      <c r="C110" s="1" t="n">
        <v>45877</v>
      </c>
      <c r="D110" t="inlineStr">
        <is>
          <t>ÖSTERGÖTLANDS LÄN</t>
        </is>
      </c>
      <c r="E110" t="inlineStr">
        <is>
          <t>MOTALA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43050-2019</t>
        </is>
      </c>
      <c r="B111" s="1" t="n">
        <v>43705</v>
      </c>
      <c r="C111" s="1" t="n">
        <v>45877</v>
      </c>
      <c r="D111" t="inlineStr">
        <is>
          <t>ÖSTERGÖTLANDS LÄN</t>
        </is>
      </c>
      <c r="E111" t="inlineStr">
        <is>
          <t>MOTALA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43033-2019</t>
        </is>
      </c>
      <c r="B112" s="1" t="n">
        <v>43705</v>
      </c>
      <c r="C112" s="1" t="n">
        <v>45877</v>
      </c>
      <c r="D112" t="inlineStr">
        <is>
          <t>ÖSTERGÖTLANDS LÄN</t>
        </is>
      </c>
      <c r="E112" t="inlineStr">
        <is>
          <t>MOTALA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43070-2019</t>
        </is>
      </c>
      <c r="B113" s="1" t="n">
        <v>43705</v>
      </c>
      <c r="C113" s="1" t="n">
        <v>45877</v>
      </c>
      <c r="D113" t="inlineStr">
        <is>
          <t>ÖSTERGÖTLANDS LÄN</t>
        </is>
      </c>
      <c r="E113" t="inlineStr">
        <is>
          <t>MOTALA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43568-2019</t>
        </is>
      </c>
      <c r="B114" s="1" t="n">
        <v>43706</v>
      </c>
      <c r="C114" s="1" t="n">
        <v>45877</v>
      </c>
      <c r="D114" t="inlineStr">
        <is>
          <t>ÖSTERGÖTLANDS LÄN</t>
        </is>
      </c>
      <c r="E114" t="inlineStr">
        <is>
          <t>MOTALA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45059-2019</t>
        </is>
      </c>
      <c r="B115" s="1" t="n">
        <v>43707</v>
      </c>
      <c r="C115" s="1" t="n">
        <v>45877</v>
      </c>
      <c r="D115" t="inlineStr">
        <is>
          <t>ÖSTERGÖTLANDS LÄN</t>
        </is>
      </c>
      <c r="E115" t="inlineStr">
        <is>
          <t>MOTALA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43931-2019</t>
        </is>
      </c>
      <c r="B116" s="1" t="n">
        <v>43707</v>
      </c>
      <c r="C116" s="1" t="n">
        <v>45877</v>
      </c>
      <c r="D116" t="inlineStr">
        <is>
          <t>ÖSTERGÖTLANDS LÄN</t>
        </is>
      </c>
      <c r="E116" t="inlineStr">
        <is>
          <t>MOTALA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44122-2019</t>
        </is>
      </c>
      <c r="B117" s="1" t="n">
        <v>43710</v>
      </c>
      <c r="C117" s="1" t="n">
        <v>45877</v>
      </c>
      <c r="D117" t="inlineStr">
        <is>
          <t>ÖSTERGÖTLANDS LÄN</t>
        </is>
      </c>
      <c r="E117" t="inlineStr">
        <is>
          <t>MOTALA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44206-2019</t>
        </is>
      </c>
      <c r="B118" s="1" t="n">
        <v>43710</v>
      </c>
      <c r="C118" s="1" t="n">
        <v>45877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44947-2019</t>
        </is>
      </c>
      <c r="B119" s="1" t="n">
        <v>43713</v>
      </c>
      <c r="C119" s="1" t="n">
        <v>45877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44938-2019</t>
        </is>
      </c>
      <c r="B120" s="1" t="n">
        <v>43713</v>
      </c>
      <c r="C120" s="1" t="n">
        <v>45877</v>
      </c>
      <c r="D120" t="inlineStr">
        <is>
          <t>ÖSTERGÖTLANDS LÄN</t>
        </is>
      </c>
      <c r="E120" t="inlineStr">
        <is>
          <t>MOTALA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45301-2019</t>
        </is>
      </c>
      <c r="B121" s="1" t="n">
        <v>43714</v>
      </c>
      <c r="C121" s="1" t="n">
        <v>45877</v>
      </c>
      <c r="D121" t="inlineStr">
        <is>
          <t>ÖSTERGÖTLANDS LÄN</t>
        </is>
      </c>
      <c r="E121" t="inlineStr">
        <is>
          <t>MOTALA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45724-2019</t>
        </is>
      </c>
      <c r="B122" s="1" t="n">
        <v>43716</v>
      </c>
      <c r="C122" s="1" t="n">
        <v>45877</v>
      </c>
      <c r="D122" t="inlineStr">
        <is>
          <t>ÖSTERGÖTLANDS LÄN</t>
        </is>
      </c>
      <c r="E122" t="inlineStr">
        <is>
          <t>MOTALA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45603-2019</t>
        </is>
      </c>
      <c r="B123" s="1" t="n">
        <v>43717</v>
      </c>
      <c r="C123" s="1" t="n">
        <v>45877</v>
      </c>
      <c r="D123" t="inlineStr">
        <is>
          <t>ÖSTERGÖTLANDS LÄN</t>
        </is>
      </c>
      <c r="E123" t="inlineStr">
        <is>
          <t>MOTALA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47165-2019</t>
        </is>
      </c>
      <c r="B124" s="1" t="n">
        <v>43720</v>
      </c>
      <c r="C124" s="1" t="n">
        <v>45877</v>
      </c>
      <c r="D124" t="inlineStr">
        <is>
          <t>ÖSTERGÖTLANDS LÄN</t>
        </is>
      </c>
      <c r="E124" t="inlineStr">
        <is>
          <t>MOTALA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47347-2019</t>
        </is>
      </c>
      <c r="B125" s="1" t="n">
        <v>43721</v>
      </c>
      <c r="C125" s="1" t="n">
        <v>45877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47348-2019</t>
        </is>
      </c>
      <c r="B126" s="1" t="n">
        <v>43721</v>
      </c>
      <c r="C126" s="1" t="n">
        <v>45877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47669-2019</t>
        </is>
      </c>
      <c r="B127" s="1" t="n">
        <v>43724</v>
      </c>
      <c r="C127" s="1" t="n">
        <v>45877</v>
      </c>
      <c r="D127" t="inlineStr">
        <is>
          <t>ÖSTERGÖTLANDS LÄN</t>
        </is>
      </c>
      <c r="E127" t="inlineStr">
        <is>
          <t>MOTALA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47873-2019</t>
        </is>
      </c>
      <c r="B128" s="1" t="n">
        <v>43724</v>
      </c>
      <c r="C128" s="1" t="n">
        <v>45877</v>
      </c>
      <c r="D128" t="inlineStr">
        <is>
          <t>ÖSTERGÖTLANDS LÄN</t>
        </is>
      </c>
      <c r="E128" t="inlineStr">
        <is>
          <t>MOTALA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48368-2019</t>
        </is>
      </c>
      <c r="B129" s="1" t="n">
        <v>43726</v>
      </c>
      <c r="C129" s="1" t="n">
        <v>45877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Kyrkan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49007-2019</t>
        </is>
      </c>
      <c r="B130" s="1" t="n">
        <v>43730</v>
      </c>
      <c r="C130" s="1" t="n">
        <v>45877</v>
      </c>
      <c r="D130" t="inlineStr">
        <is>
          <t>ÖSTERGÖTLANDS LÄN</t>
        </is>
      </c>
      <c r="E130" t="inlineStr">
        <is>
          <t>MOTALA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49635-2019</t>
        </is>
      </c>
      <c r="B131" s="1" t="n">
        <v>43732</v>
      </c>
      <c r="C131" s="1" t="n">
        <v>45877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49540-2019</t>
        </is>
      </c>
      <c r="B132" s="1" t="n">
        <v>43732</v>
      </c>
      <c r="C132" s="1" t="n">
        <v>45877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49796-2019</t>
        </is>
      </c>
      <c r="B133" s="1" t="n">
        <v>43733</v>
      </c>
      <c r="C133" s="1" t="n">
        <v>45877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Allmännings- och besparingsskogar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50459-2019</t>
        </is>
      </c>
      <c r="B134" s="1" t="n">
        <v>43735</v>
      </c>
      <c r="C134" s="1" t="n">
        <v>45877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50455-2019</t>
        </is>
      </c>
      <c r="B135" s="1" t="n">
        <v>43735</v>
      </c>
      <c r="C135" s="1" t="n">
        <v>45877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50959-2019</t>
        </is>
      </c>
      <c r="B136" s="1" t="n">
        <v>43738</v>
      </c>
      <c r="C136" s="1" t="n">
        <v>45877</v>
      </c>
      <c r="D136" t="inlineStr">
        <is>
          <t>ÖSTERGÖTLANDS LÄN</t>
        </is>
      </c>
      <c r="E136" t="inlineStr">
        <is>
          <t>MOTALA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50962-2019</t>
        </is>
      </c>
      <c r="B137" s="1" t="n">
        <v>43738</v>
      </c>
      <c r="C137" s="1" t="n">
        <v>45877</v>
      </c>
      <c r="D137" t="inlineStr">
        <is>
          <t>ÖSTERGÖTLANDS LÄN</t>
        </is>
      </c>
      <c r="E137" t="inlineStr">
        <is>
          <t>MOTALA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50686-2019</t>
        </is>
      </c>
      <c r="B138" s="1" t="n">
        <v>43738</v>
      </c>
      <c r="C138" s="1" t="n">
        <v>45877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51194-2019</t>
        </is>
      </c>
      <c r="B139" s="1" t="n">
        <v>43739</v>
      </c>
      <c r="C139" s="1" t="n">
        <v>45877</v>
      </c>
      <c r="D139" t="inlineStr">
        <is>
          <t>ÖSTERGÖTLANDS LÄN</t>
        </is>
      </c>
      <c r="E139" t="inlineStr">
        <is>
          <t>MOTALA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52297-2019</t>
        </is>
      </c>
      <c r="B140" s="1" t="n">
        <v>43745</v>
      </c>
      <c r="C140" s="1" t="n">
        <v>45877</v>
      </c>
      <c r="D140" t="inlineStr">
        <is>
          <t>ÖSTERGÖTLANDS LÄN</t>
        </is>
      </c>
      <c r="E140" t="inlineStr">
        <is>
          <t>MOTALA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52786-2019</t>
        </is>
      </c>
      <c r="B141" s="1" t="n">
        <v>43746</v>
      </c>
      <c r="C141" s="1" t="n">
        <v>45877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52784-2019</t>
        </is>
      </c>
      <c r="B142" s="1" t="n">
        <v>43746</v>
      </c>
      <c r="C142" s="1" t="n">
        <v>45877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52781-2019</t>
        </is>
      </c>
      <c r="B143" s="1" t="n">
        <v>43746</v>
      </c>
      <c r="C143" s="1" t="n">
        <v>45877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53523-2019</t>
        </is>
      </c>
      <c r="B144" s="1" t="n">
        <v>43749</v>
      </c>
      <c r="C144" s="1" t="n">
        <v>45877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53524-2019</t>
        </is>
      </c>
      <c r="B145" s="1" t="n">
        <v>43749</v>
      </c>
      <c r="C145" s="1" t="n">
        <v>45877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53522-2019</t>
        </is>
      </c>
      <c r="B146" s="1" t="n">
        <v>43749</v>
      </c>
      <c r="C146" s="1" t="n">
        <v>45877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53539-2019</t>
        </is>
      </c>
      <c r="B147" s="1" t="n">
        <v>43749</v>
      </c>
      <c r="C147" s="1" t="n">
        <v>45877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53763-2019</t>
        </is>
      </c>
      <c r="B148" s="1" t="n">
        <v>43750</v>
      </c>
      <c r="C148" s="1" t="n">
        <v>45877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54341-2019</t>
        </is>
      </c>
      <c r="B149" s="1" t="n">
        <v>43753</v>
      </c>
      <c r="C149" s="1" t="n">
        <v>45877</v>
      </c>
      <c r="D149" t="inlineStr">
        <is>
          <t>ÖSTERGÖTLANDS LÄN</t>
        </is>
      </c>
      <c r="E149" t="inlineStr">
        <is>
          <t>MOTALA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54217-2019</t>
        </is>
      </c>
      <c r="B150" s="1" t="n">
        <v>43753</v>
      </c>
      <c r="C150" s="1" t="n">
        <v>45877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54345-2019</t>
        </is>
      </c>
      <c r="B151" s="1" t="n">
        <v>43753</v>
      </c>
      <c r="C151" s="1" t="n">
        <v>45877</v>
      </c>
      <c r="D151" t="inlineStr">
        <is>
          <t>ÖSTERGÖTLANDS LÄN</t>
        </is>
      </c>
      <c r="E151" t="inlineStr">
        <is>
          <t>MOTALA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54482-2019</t>
        </is>
      </c>
      <c r="B152" s="1" t="n">
        <v>43754</v>
      </c>
      <c r="C152" s="1" t="n">
        <v>45877</v>
      </c>
      <c r="D152" t="inlineStr">
        <is>
          <t>ÖSTERGÖTLANDS LÄN</t>
        </is>
      </c>
      <c r="E152" t="inlineStr">
        <is>
          <t>MOTALA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54751-2019</t>
        </is>
      </c>
      <c r="B153" s="1" t="n">
        <v>43755</v>
      </c>
      <c r="C153" s="1" t="n">
        <v>45877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54803-2019</t>
        </is>
      </c>
      <c r="B154" s="1" t="n">
        <v>43755</v>
      </c>
      <c r="C154" s="1" t="n">
        <v>45877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54724-2019</t>
        </is>
      </c>
      <c r="B155" s="1" t="n">
        <v>43755</v>
      </c>
      <c r="C155" s="1" t="n">
        <v>45877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54714-2019</t>
        </is>
      </c>
      <c r="B156" s="1" t="n">
        <v>43755</v>
      </c>
      <c r="C156" s="1" t="n">
        <v>45877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55114-2019</t>
        </is>
      </c>
      <c r="B157" s="1" t="n">
        <v>43756</v>
      </c>
      <c r="C157" s="1" t="n">
        <v>45877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55532-2019</t>
        </is>
      </c>
      <c r="B158" s="1" t="n">
        <v>43760</v>
      </c>
      <c r="C158" s="1" t="n">
        <v>45877</v>
      </c>
      <c r="D158" t="inlineStr">
        <is>
          <t>ÖSTERGÖTLANDS LÄN</t>
        </is>
      </c>
      <c r="E158" t="inlineStr">
        <is>
          <t>MOTALA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55835-2019</t>
        </is>
      </c>
      <c r="B159" s="1" t="n">
        <v>43761</v>
      </c>
      <c r="C159" s="1" t="n">
        <v>45877</v>
      </c>
      <c r="D159" t="inlineStr">
        <is>
          <t>ÖSTERGÖTLANDS LÄN</t>
        </is>
      </c>
      <c r="E159" t="inlineStr">
        <is>
          <t>MOTALA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56929-2019</t>
        </is>
      </c>
      <c r="B160" s="1" t="n">
        <v>43763</v>
      </c>
      <c r="C160" s="1" t="n">
        <v>45877</v>
      </c>
      <c r="D160" t="inlineStr">
        <is>
          <t>ÖSTERGÖTLANDS LÄN</t>
        </is>
      </c>
      <c r="E160" t="inlineStr">
        <is>
          <t>MOTALA</t>
        </is>
      </c>
      <c r="G160" t="n">
        <v>23.5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57428-2019</t>
        </is>
      </c>
      <c r="B161" s="1" t="n">
        <v>43767</v>
      </c>
      <c r="C161" s="1" t="n">
        <v>45877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58839-2019</t>
        </is>
      </c>
      <c r="B162" s="1" t="n">
        <v>43774</v>
      </c>
      <c r="C162" s="1" t="n">
        <v>45877</v>
      </c>
      <c r="D162" t="inlineStr">
        <is>
          <t>ÖSTERGÖTLANDS LÄN</t>
        </is>
      </c>
      <c r="E162" t="inlineStr">
        <is>
          <t>MOTALA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59583-2019</t>
        </is>
      </c>
      <c r="B163" s="1" t="n">
        <v>43776</v>
      </c>
      <c r="C163" s="1" t="n">
        <v>45877</v>
      </c>
      <c r="D163" t="inlineStr">
        <is>
          <t>ÖSTERGÖTLANDS LÄN</t>
        </is>
      </c>
      <c r="E163" t="inlineStr">
        <is>
          <t>MOTALA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59609-2019</t>
        </is>
      </c>
      <c r="B164" s="1" t="n">
        <v>43776</v>
      </c>
      <c r="C164" s="1" t="n">
        <v>45877</v>
      </c>
      <c r="D164" t="inlineStr">
        <is>
          <t>ÖSTERGÖTLANDS LÄN</t>
        </is>
      </c>
      <c r="E164" t="inlineStr">
        <is>
          <t>MOTALA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60153-2019</t>
        </is>
      </c>
      <c r="B165" s="1" t="n">
        <v>43779</v>
      </c>
      <c r="C165" s="1" t="n">
        <v>45877</v>
      </c>
      <c r="D165" t="inlineStr">
        <is>
          <t>ÖSTERGÖTLANDS LÄN</t>
        </is>
      </c>
      <c r="E165" t="inlineStr">
        <is>
          <t>MOTALA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60791-2019</t>
        </is>
      </c>
      <c r="B166" s="1" t="n">
        <v>43781</v>
      </c>
      <c r="C166" s="1" t="n">
        <v>45877</v>
      </c>
      <c r="D166" t="inlineStr">
        <is>
          <t>ÖSTERGÖTLANDS LÄN</t>
        </is>
      </c>
      <c r="E166" t="inlineStr">
        <is>
          <t>MOTALA</t>
        </is>
      </c>
      <c r="G166" t="n">
        <v>28.7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60986-2019</t>
        </is>
      </c>
      <c r="B167" s="1" t="n">
        <v>43782</v>
      </c>
      <c r="C167" s="1" t="n">
        <v>45877</v>
      </c>
      <c r="D167" t="inlineStr">
        <is>
          <t>ÖSTERGÖTLANDS LÄN</t>
        </is>
      </c>
      <c r="E167" t="inlineStr">
        <is>
          <t>MOTALA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61294-2019</t>
        </is>
      </c>
      <c r="B168" s="1" t="n">
        <v>43783</v>
      </c>
      <c r="C168" s="1" t="n">
        <v>45877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61308-2019</t>
        </is>
      </c>
      <c r="B169" s="1" t="n">
        <v>43783</v>
      </c>
      <c r="C169" s="1" t="n">
        <v>45877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45877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45877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45877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45877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45877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45877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45877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45877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45877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45877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45877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45877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45877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45877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45877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45877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45877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45877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45877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45877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45877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45877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45877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45877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45877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45877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45877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45877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45877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45877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45877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45877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45877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45877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45877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45877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45877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45877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45877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45877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45877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45877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45877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45877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45877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45877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45877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45877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45877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45877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45877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45877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45877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45877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45877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45877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45877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45877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45877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45877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45877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45877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45877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45877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45877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45877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45877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45877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45877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45877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45877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45877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45877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45877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45877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45877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45877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45877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45877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45877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45877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45877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45877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45877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45877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45877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45877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45877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45877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45877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45877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45877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45877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45877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45877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45877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45877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45877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45877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45877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45877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45877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45877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45877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45877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45877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45877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45877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45877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45877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45877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45877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45877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45877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45877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45877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45877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45877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45877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45877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45877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45877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45877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45877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45877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45877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45877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45877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45877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45877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45877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45877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45877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45877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45877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45877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45877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45877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45877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45877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45877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45877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45877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45877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45877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45877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45877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45877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45877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45877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45877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45877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45877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45877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45877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45877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45877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45877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45877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45877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45877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45877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45877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45877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45877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45877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45877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45877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45877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45877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45877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45877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45877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45877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45877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45877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45877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45877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45877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45877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45877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45877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45877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45877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45877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45877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45877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45877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45877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45877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45877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45877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45877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45877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45877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45877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45877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45877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45877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45877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45877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45877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45877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45877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45877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45877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45877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45877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45877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45877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45877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45877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45877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45877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45877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45877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45877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45877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45877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45877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45877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45877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45877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45877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45877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45877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45877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45877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45877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45877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45877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45877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45877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45877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45877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45877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45877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45877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45877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45877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45877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45877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45877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45877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45877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45877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45877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45877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45877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45877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45877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45877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45877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45877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45877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45877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45877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45877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45877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45877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45877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45877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45877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45877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45877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45877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45877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45877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45877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45877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45877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45877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45877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45877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45877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45877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45877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45877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45877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45877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45877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45877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45877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45877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45877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45877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45877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45877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45877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45877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45877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45877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45877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45877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45877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45877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45877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45877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45877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45877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45877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45877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45877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45877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45877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45877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45877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45877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45877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45877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45877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45877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45877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45877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45877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45877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45877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45877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45877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45877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45877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45877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45877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45877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45877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45877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45877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45877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45877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45877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45877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45877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45877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45877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45877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45877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45877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45877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45877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45877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45877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45877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45877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45877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45877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45877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45877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45877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45877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45877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45877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45877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45877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45877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45877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45877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45877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45877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45877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45877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45877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45877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45877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45877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45877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45877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45877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45877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45877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45877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45877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45877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45877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45877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45877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45877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45877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45877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45877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45877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45877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45877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45877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45877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45877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45877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45877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45877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45877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45877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45877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45877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45877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45877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45877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45877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45877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45877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45877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45877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45877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45877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45877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45877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45877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45877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45877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45877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45877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45877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45877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45877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45877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45877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45877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45877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45877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45877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45877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45877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45877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45877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45877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45877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45877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45877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45877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45877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45877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45877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45877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45877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45877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45877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45877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45877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45877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45877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45877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45877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45877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45877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45877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45877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45877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45877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45877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45877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45877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45877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45877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45877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45877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45877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45877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45877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45877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45877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45877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45877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45877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45877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45877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45877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45877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45877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45877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45877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45877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45877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45877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45877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45877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45877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45877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45877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45877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45877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45877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45877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45877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45877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45877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45877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45877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45877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45877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45877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45877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45877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45877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45877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45877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45877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45877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45877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45877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45877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45877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45877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45877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45877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45877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45877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45877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45877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45877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45877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45877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45877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45877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45877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45877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45877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45877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45877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45877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45877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45877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45877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45877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45877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45877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45877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45877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45877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45877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45877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45877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45877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45877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45877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45877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45877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45877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45877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45877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45877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45877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45877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45877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45877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45877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45877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45877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45877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45877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45877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45877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45877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45877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45877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45877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45877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45877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45877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45877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45877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45877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45877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45877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45877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45877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45877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45877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45877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45877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45877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45877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45877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45877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45877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45877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45877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45877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45877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45877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45877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45877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45877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45877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45877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45877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45877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45877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45877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45877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45877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45877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45877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45877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45877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45877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45877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45877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45877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45877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45877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45877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45877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45877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45877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45877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45877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45877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45877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45877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45877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45877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45877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45877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45877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45877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45877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45877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45877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45877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45877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45877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45877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45877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45877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45877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45877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45877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45877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45877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45877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45877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45877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45877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45877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45877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45877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45877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45877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45877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45877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45877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45877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45877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45877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45877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45877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45877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45877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45877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45877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45877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45877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45877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45877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45877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45877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45877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45877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45877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45877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45877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45877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45877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45877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45877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45877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45877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45877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45877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45877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45877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45877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45877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45877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45877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45877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45877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45877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45877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45877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45877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45877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45877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45877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45877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45877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45877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45877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45877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45877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45877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45877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45877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45877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45877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45877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45877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45877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45877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45877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45877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45877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45877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45877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45877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45877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45877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45877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45877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45877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45877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45877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45877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45877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45877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45877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45877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45877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45877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45877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45877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45877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45877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45877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45877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45877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45877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45877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45877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45877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45877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45877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45877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45877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45877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45877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45877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45877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45877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45877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45877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45877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45877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45877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45877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45877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45877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45877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45877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45877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45877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45877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45877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45877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45877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45877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45877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45877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45877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45877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45877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45877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45877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45877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45877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45877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45877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45877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45877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45877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45877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45877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45877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45877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45877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45877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45877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45877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45877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45877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45877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45877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45877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45877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45877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45877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45877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45877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45877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45877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45877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45877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45877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45877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45877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45877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45877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45877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45877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45877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45877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45877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45877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45877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45877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45877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45877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45877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45877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45877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45877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45877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45877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45877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45877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45877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45877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45877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45877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45877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45877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45877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45877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45877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45877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45877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45877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45877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45877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45877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45877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45877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45877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45877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45877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45877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45877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45877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45877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45877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45877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45877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45877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45877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45877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45877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45877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45877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45877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45877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45877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45877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45877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45877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45877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45877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45877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45877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45877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45877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45877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45877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45877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45877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45877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45877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45877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45877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45877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45877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45877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45877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45877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45877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45877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45877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45877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45877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45877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45877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45877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45877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45877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45877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45877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45877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30358-2025</t>
        </is>
      </c>
      <c r="B1054" s="1" t="n">
        <v>45827</v>
      </c>
      <c r="C1054" s="1" t="n">
        <v>45877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30357-2025</t>
        </is>
      </c>
      <c r="B1055" s="1" t="n">
        <v>45827</v>
      </c>
      <c r="C1055" s="1" t="n">
        <v>45877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45877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45877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45877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33665-2025</t>
        </is>
      </c>
      <c r="B1059" s="1" t="n">
        <v>45841</v>
      </c>
      <c r="C1059" s="1" t="n">
        <v>45877</v>
      </c>
      <c r="D1059" t="inlineStr">
        <is>
          <t>ÖSTERGÖTLANDS LÄN</t>
        </is>
      </c>
      <c r="E1059" t="inlineStr">
        <is>
          <t>MOTALA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33669-2025</t>
        </is>
      </c>
      <c r="B1060" s="1" t="n">
        <v>45841</v>
      </c>
      <c r="C1060" s="1" t="n">
        <v>45877</v>
      </c>
      <c r="D1060" t="inlineStr">
        <is>
          <t>ÖSTERGÖTLANDS LÄN</t>
        </is>
      </c>
      <c r="E1060" t="inlineStr">
        <is>
          <t>MOTALA</t>
        </is>
      </c>
      <c r="G1060" t="n">
        <v>10.5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34041-2025</t>
        </is>
      </c>
      <c r="B1061" s="1" t="n">
        <v>45843</v>
      </c>
      <c r="C1061" s="1" t="n">
        <v>45877</v>
      </c>
      <c r="D1061" t="inlineStr">
        <is>
          <t>ÖSTERGÖTLANDS LÄN</t>
        </is>
      </c>
      <c r="E1061" t="inlineStr">
        <is>
          <t>MOTALA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35794-2025</t>
        </is>
      </c>
      <c r="B1062" s="1" t="n">
        <v>45861</v>
      </c>
      <c r="C1062" s="1" t="n">
        <v>45877</v>
      </c>
      <c r="D1062" t="inlineStr">
        <is>
          <t>ÖSTERGÖTLANDS LÄN</t>
        </is>
      </c>
      <c r="E1062" t="inlineStr">
        <is>
          <t>MOTALA</t>
        </is>
      </c>
      <c r="F1062" t="inlineStr">
        <is>
          <t>Sveaskog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35797-2025</t>
        </is>
      </c>
      <c r="B1063" s="1" t="n">
        <v>45861</v>
      </c>
      <c r="C1063" s="1" t="n">
        <v>45877</v>
      </c>
      <c r="D1063" t="inlineStr">
        <is>
          <t>ÖSTERGÖTLANDS LÄN</t>
        </is>
      </c>
      <c r="E1063" t="inlineStr">
        <is>
          <t>MOTALA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35798-2025</t>
        </is>
      </c>
      <c r="B1064" s="1" t="n">
        <v>45861</v>
      </c>
      <c r="C1064" s="1" t="n">
        <v>45877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Sveaskog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35796-2025</t>
        </is>
      </c>
      <c r="B1065" s="1" t="n">
        <v>45861</v>
      </c>
      <c r="C1065" s="1" t="n">
        <v>45877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2025-08-09T01:08:39Z</dcterms:created>
  <dcterms:modified xmlns:dcterms="http://purl.org/dc/terms/" xmlns:xsi="http://www.w3.org/2001/XMLSchema-instance" xsi:type="dcterms:W3CDTF">2025-08-09T01:08:39Z</dcterms:modified>
</cp:coreProperties>
</file>