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46288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46288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46288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46288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46288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46288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46288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46288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46288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46288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46288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46288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46288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46288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17738-2026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46288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8.699999999999999</v>
      </c>
      <c r="J16" t="n">
        <v>2</v>
      </c>
      <c r="K16" t="n">
        <v>3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10</v>
      </c>
      <c r="U16" t="n">
        <v>10</v>
      </c>
      <c r="V16" s="2" t="inlineStr">
        <is>
          <t>Knärot
Gullpudra
Björksplintborre
Thomsons trägnagare
Vågbandad barkbock
Blåsippa</t>
        </is>
      </c>
      <c r="W16">
        <f>HYPERLINK("https://klasma.github.io/Logging_0583/artfynd/A 17738-2026 artfynd.xlsx", "A 17738-2026")</f>
        <v/>
      </c>
      <c r="X16">
        <f>HYPERLINK("https://klasma.github.io/Logging_0583/kartor/A 17738-2026 karta.png", "A 17738-2026")</f>
        <v/>
      </c>
      <c r="Y16">
        <f>HYPERLINK("https://klasma.github.io/Logging_0583/kartor_geotiff/A 17738-2026 georefererad karta.tif", "A 17738-2026")</f>
        <v/>
      </c>
      <c r="Z16">
        <f>HYPERLINK("https://klasma.github.io/Logging_0583/knärot/A 17738-2026 karta knärot.png", "A 17738-2026")</f>
        <v/>
      </c>
      <c r="AA16">
        <f>HYPERLINK("https://klasma.github.io/Logging_0583/klagomål/A 17738-2026 FSC-klagomål.docx", "A 17738-2026")</f>
        <v/>
      </c>
      <c r="AB16">
        <f>HYPERLINK("https://klasma.github.io/Logging_0583/klagomålsmail/A 17738-2026 FSC-klagomål mail.docx", "A 17738-2026")</f>
        <v/>
      </c>
      <c r="AC16">
        <f>HYPERLINK("https://klasma.github.io/Logging_0583/tillsyn/A 17738-2026 tillsynsbegäran.docx", "A 17738-2026")</f>
        <v/>
      </c>
      <c r="AD16">
        <f>HYPERLINK("https://klasma.github.io/Logging_0583/tillsynsmail/A 17738-2026 tillsynsbegäran mail.docx", "A 17738-2026")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46288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46288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46288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46288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46288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46288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46288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11145-2026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46080</v>
      </c>
      <c r="E24" s="1" t="n">
        <v>46288</v>
      </c>
      <c r="F24" t="inlineStr">
        <is>
          <t>ÖSTERGÖTLANDS LÄN</t>
        </is>
      </c>
      <c r="G24" t="inlineStr">
        <is>
          <t>MOTALA</t>
        </is>
      </c>
      <c r="H24" t="inlineStr">
        <is>
          <t>Kyrkan</t>
        </is>
      </c>
      <c r="I24" t="n">
        <v>10.9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Tallticka
Björksplintborre
Spillkråka</t>
        </is>
      </c>
      <c r="W24">
        <f>HYPERLINK("https://klasma.github.io/Logging_0583/artfynd/A 11145-2026 artfynd.xlsx", "A 11145-2026")</f>
        <v/>
      </c>
      <c r="X24">
        <f>HYPERLINK("https://klasma.github.io/Logging_0583/kartor/A 11145-2026 karta.png", "A 11145-2026")</f>
        <v/>
      </c>
      <c r="Y24">
        <f>HYPERLINK("https://klasma.github.io/Logging_0583/kartor_geotiff/A 11145-2026 georefererad karta.tif", "A 11145-2026")</f>
        <v/>
      </c>
      <c r="AA24">
        <f>HYPERLINK("https://klasma.github.io/Logging_0583/klagomål/A 11145-2026 FSC-klagomål.docx", "A 11145-2026")</f>
        <v/>
      </c>
      <c r="AB24">
        <f>HYPERLINK("https://klasma.github.io/Logging_0583/klagomålsmail/A 11145-2026 FSC-klagomål mail.docx", "A 11145-2026")</f>
        <v/>
      </c>
      <c r="AC24">
        <f>HYPERLINK("https://klasma.github.io/Logging_0583/tillsyn/A 11145-2026 tillsynsbegäran.docx", "A 11145-2026")</f>
        <v/>
      </c>
      <c r="AD24">
        <f>HYPERLINK("https://klasma.github.io/Logging_0583/tillsynsmail/A 11145-2026 tillsynsbegäran mail.docx", "A 11145-2026")</f>
        <v/>
      </c>
      <c r="AE24">
        <f>HYPERLINK("https://klasma.github.io/Logging_0583/fåglar/A 11145-2026 prioriterade fågelarter.docx", "A 11145-2026")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46288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46288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18894-2023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46288</v>
      </c>
      <c r="F27" t="inlineStr">
        <is>
          <t>ÖSTERGÖTLANDS LÄN</t>
        </is>
      </c>
      <c r="G27" t="inlineStr">
        <is>
          <t>MOTALA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2</v>
      </c>
      <c r="O27" t="n">
        <v>0</v>
      </c>
      <c r="P27" t="n">
        <v>0</v>
      </c>
      <c r="Q27" t="n">
        <v>2</v>
      </c>
      <c r="R27" t="n">
        <v>2</v>
      </c>
      <c r="S27" t="n">
        <v>2</v>
      </c>
      <c r="T27" t="n">
        <v>11</v>
      </c>
      <c r="U27" t="n">
        <v>0</v>
      </c>
      <c r="V27" s="2" t="inlineStr">
        <is>
          <t>Ask
Skogsalm</t>
        </is>
      </c>
      <c r="W27">
        <f>HYPERLINK("https://klasma.github.io/Logging_0583/artfynd/A 18894-2023 artfynd.xlsx", "A 18894-2023")</f>
        <v/>
      </c>
      <c r="X27">
        <f>HYPERLINK("https://klasma.github.io/Logging_0583/kartor/A 18894-2023 karta.png", "A 18894-2023")</f>
        <v/>
      </c>
      <c r="Y27">
        <f>HYPERLINK("https://klasma.github.io/Logging_0583/kartor_geotiff/A 18894-2023 georefererad karta.tif", "A 18894-2023")</f>
        <v/>
      </c>
      <c r="AA27">
        <f>HYPERLINK("https://klasma.github.io/Logging_0583/klagomål/A 18894-2023 FSC-klagomål.docx", "A 18894-2023")</f>
        <v/>
      </c>
      <c r="AB27">
        <f>HYPERLINK("https://klasma.github.io/Logging_0583/klagomålsmail/A 18894-2023 FSC-klagomål mail.docx", "A 18894-2023")</f>
        <v/>
      </c>
      <c r="AC27">
        <f>HYPERLINK("https://klasma.github.io/Logging_0583/tillsyn/A 18894-2023 tillsynsbegäran.docx", "A 18894-2023")</f>
        <v/>
      </c>
      <c r="AD27">
        <f>HYPERLINK("https://klasma.github.io/Logging_0583/tillsynsmail/A 18894-2023 tillsynsbegäran mail.docx", "A 18894-2023")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46288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Bergsslok
Storrams</t>
        </is>
      </c>
      <c r="W28">
        <f>HYPERLINK("https://klasma.github.io/Logging_0583/artfynd/A 20820-2026 artfynd.xlsx", "A 20820-2026")</f>
        <v/>
      </c>
      <c r="X28">
        <f>HYPERLINK("https://klasma.github.io/Logging_0583/kartor/A 20820-2026 karta.png", "A 20820-2026")</f>
        <v/>
      </c>
      <c r="Y28">
        <f>HYPERLINK("https://klasma.github.io/Logging_0583/kartor_geotiff/A 20820-2026 georefererad karta.tif", "A 20820-2026")</f>
        <v/>
      </c>
      <c r="AA28">
        <f>HYPERLINK("https://klasma.github.io/Logging_0583/klagomål/A 20820-2026 FSC-klagomål.docx", "A 20820-2026")</f>
        <v/>
      </c>
      <c r="AB28">
        <f>HYPERLINK("https://klasma.github.io/Logging_0583/klagomålsmail/A 20820-2026 FSC-klagomål mail.docx", "A 20820-2026")</f>
        <v/>
      </c>
      <c r="AC28">
        <f>HYPERLINK("https://klasma.github.io/Logging_0583/tillsyn/A 20820-2026 tillsynsbegäran.docx", "A 20820-2026")</f>
        <v/>
      </c>
      <c r="AD28">
        <f>HYPERLINK("https://klasma.github.io/Logging_0583/tillsynsmail/A 20820-2026 tillsynsbegäran mail.docx", "A 20820-2026")</f>
        <v/>
      </c>
    </row>
    <row r="29" ht="15" customHeight="1">
      <c r="A29" t="inlineStr">
        <is>
          <t>A 44938-2025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45918</v>
      </c>
      <c r="E29" s="1" t="n">
        <v>46288</v>
      </c>
      <c r="F29" t="inlineStr">
        <is>
          <t>ÖSTERGÖTLANDS LÄN</t>
        </is>
      </c>
      <c r="G29" t="inlineStr">
        <is>
          <t>MOTALA</t>
        </is>
      </c>
      <c r="I29" t="n">
        <v>2.1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Blomkålssvamp
Revlummer</t>
        </is>
      </c>
      <c r="W29">
        <f>HYPERLINK("https://klasma.github.io/Logging_0583/artfynd/A 44938-2025 artfynd.xlsx", "A 44938-2025")</f>
        <v/>
      </c>
      <c r="X29">
        <f>HYPERLINK("https://klasma.github.io/Logging_0583/kartor/A 44938-2025 karta.png", "A 44938-2025")</f>
        <v/>
      </c>
      <c r="Y29">
        <f>HYPERLINK("https://klasma.github.io/Logging_0583/kartor_geotiff/A 44938-2025 georefererad karta.tif", "A 44938-2025")</f>
        <v/>
      </c>
      <c r="AA29">
        <f>HYPERLINK("https://klasma.github.io/Logging_0583/klagomål/A 44938-2025 FSC-klagomål.docx", "A 44938-2025")</f>
        <v/>
      </c>
      <c r="AB29">
        <f>HYPERLINK("https://klasma.github.io/Logging_0583/klagomålsmail/A 44938-2025 FSC-klagomål mail.docx", "A 44938-2025")</f>
        <v/>
      </c>
      <c r="AC29">
        <f>HYPERLINK("https://klasma.github.io/Logging_0583/tillsyn/A 44938-2025 tillsynsbegäran.docx", "A 44938-2025")</f>
        <v/>
      </c>
      <c r="AD29">
        <f>HYPERLINK("https://klasma.github.io/Logging_0583/tillsynsmail/A 44938-2025 tillsynsbegäran mail.docx", "A 44938-2025")</f>
        <v/>
      </c>
    </row>
    <row r="30" ht="15" customHeight="1">
      <c r="A30" t="inlineStr">
        <is>
          <t>A 53201-2025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46288</v>
      </c>
      <c r="F30" t="inlineStr">
        <is>
          <t>ÖSTERGÖTLANDS LÄN</t>
        </is>
      </c>
      <c r="G30" t="inlineStr">
        <is>
          <t>MOTALA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Stallört
Kärrknipprot</t>
        </is>
      </c>
      <c r="W30">
        <f>HYPERLINK("https://klasma.github.io/Logging_0583/artfynd/A 53201-2025 artfynd.xlsx", "A 53201-2025")</f>
        <v/>
      </c>
      <c r="X30">
        <f>HYPERLINK("https://klasma.github.io/Logging_0583/kartor/A 53201-2025 karta.png", "A 53201-2025")</f>
        <v/>
      </c>
      <c r="Y30">
        <f>HYPERLINK("https://klasma.github.io/Logging_0583/kartor_geotiff/A 53201-2025 georefererad karta.tif", "A 53201-2025")</f>
        <v/>
      </c>
      <c r="AA30">
        <f>HYPERLINK("https://klasma.github.io/Logging_0583/klagomål/A 53201-2025 FSC-klagomål.docx", "A 53201-2025")</f>
        <v/>
      </c>
      <c r="AB30">
        <f>HYPERLINK("https://klasma.github.io/Logging_0583/klagomålsmail/A 53201-2025 FSC-klagomål mail.docx", "A 53201-2025")</f>
        <v/>
      </c>
      <c r="AC30">
        <f>HYPERLINK("https://klasma.github.io/Logging_0583/tillsyn/A 53201-2025 tillsynsbegäran.docx", "A 53201-2025")</f>
        <v/>
      </c>
      <c r="AD30">
        <f>HYPERLINK("https://klasma.github.io/Logging_0583/tillsynsmail/A 53201-2025 tillsynsbegäran mail.docx", "A 53201-2025")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46288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46288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48392-2024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46288</v>
      </c>
      <c r="F33" t="inlineStr">
        <is>
          <t>ÖSTERGÖTLANDS LÄN</t>
        </is>
      </c>
      <c r="G33" t="inlineStr">
        <is>
          <t>MOTALA</t>
        </is>
      </c>
      <c r="I33" t="n">
        <v>0.6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Vätteros
Nattviol</t>
        </is>
      </c>
      <c r="W33">
        <f>HYPERLINK("https://klasma.github.io/Logging_0583/artfynd/A 48392-2024 artfynd.xlsx", "A 48392-2024")</f>
        <v/>
      </c>
      <c r="X33">
        <f>HYPERLINK("https://klasma.github.io/Logging_0583/kartor/A 48392-2024 karta.png", "A 48392-2024")</f>
        <v/>
      </c>
      <c r="Y33">
        <f>HYPERLINK("https://klasma.github.io/Logging_0583/kartor_geotiff/A 48392-2024 georefererad karta.tif", "A 48392-2024")</f>
        <v/>
      </c>
      <c r="AA33">
        <f>HYPERLINK("https://klasma.github.io/Logging_0583/klagomål/A 48392-2024 FSC-klagomål.docx", "A 48392-2024")</f>
        <v/>
      </c>
      <c r="AB33">
        <f>HYPERLINK("https://klasma.github.io/Logging_0583/klagomålsmail/A 48392-2024 FSC-klagomål mail.docx", "A 48392-2024")</f>
        <v/>
      </c>
      <c r="AC33">
        <f>HYPERLINK("https://klasma.github.io/Logging_0583/tillsyn/A 48392-2024 tillsynsbegäran.docx", "A 48392-2024")</f>
        <v/>
      </c>
      <c r="AD33">
        <f>HYPERLINK("https://klasma.github.io/Logging_0583/tillsynsmail/A 48392-2024 tillsynsbegäran mail.docx", "A 48392-2024")</f>
        <v/>
      </c>
    </row>
    <row r="34" ht="15" customHeight="1">
      <c r="A34" t="inlineStr">
        <is>
          <t>A 30955-2023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46288</v>
      </c>
      <c r="F34" t="inlineStr">
        <is>
          <t>ÖSTERGÖTLANDS LÄN</t>
        </is>
      </c>
      <c r="G34" t="inlineStr">
        <is>
          <t>MOTALA</t>
        </is>
      </c>
      <c r="H34" t="inlineStr">
        <is>
          <t>Övriga statliga verk och myndigheter</t>
        </is>
      </c>
      <c r="I34" t="n">
        <v>7.5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Sparvuggla
Tjäder</t>
        </is>
      </c>
      <c r="W34">
        <f>HYPERLINK("https://klasma.github.io/Logging_0583/artfynd/A 30955-2023 artfynd.xlsx", "A 30955-2023")</f>
        <v/>
      </c>
      <c r="X34">
        <f>HYPERLINK("https://klasma.github.io/Logging_0583/kartor/A 30955-2023 karta.png", "A 30955-2023")</f>
        <v/>
      </c>
      <c r="Y34">
        <f>HYPERLINK("https://klasma.github.io/Logging_0583/kartor_geotiff/A 30955-2023 georefererad karta.tif", "A 30955-2023")</f>
        <v/>
      </c>
      <c r="AA34">
        <f>HYPERLINK("https://klasma.github.io/Logging_0583/klagomål/A 30955-2023 FSC-klagomål.docx", "A 30955-2023")</f>
        <v/>
      </c>
      <c r="AB34">
        <f>HYPERLINK("https://klasma.github.io/Logging_0583/klagomålsmail/A 30955-2023 FSC-klagomål mail.docx", "A 30955-2023")</f>
        <v/>
      </c>
      <c r="AC34">
        <f>HYPERLINK("https://klasma.github.io/Logging_0583/tillsyn/A 30955-2023 tillsynsbegäran.docx", "A 30955-2023")</f>
        <v/>
      </c>
      <c r="AD34">
        <f>HYPERLINK("https://klasma.github.io/Logging_0583/tillsynsmail/A 30955-2023 tillsynsbegäran mail.docx", "A 30955-2023")</f>
        <v/>
      </c>
      <c r="AE34">
        <f>HYPERLINK("https://klasma.github.io/Logging_0583/fåglar/A 30955-2023 prioriterade fågelarter.docx", "A 30955-2023")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46288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46288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46288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46288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46288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44814-2025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45918</v>
      </c>
      <c r="E40" s="1" t="n">
        <v>46288</v>
      </c>
      <c r="F40" t="inlineStr">
        <is>
          <t>ÖSTERGÖTLANDS LÄN</t>
        </is>
      </c>
      <c r="G40" t="inlineStr">
        <is>
          <t>MOTALA</t>
        </is>
      </c>
      <c r="I40" t="n">
        <v>5.9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HYPERLINK("https://klasma.github.io/Logging_0583/artfynd/A 44814-2025 artfynd.xlsx", "A 44814-2025")</f>
        <v/>
      </c>
      <c r="X40">
        <f>HYPERLINK("https://klasma.github.io/Logging_0583/kartor/A 44814-2025 karta.png", "A 44814-2025")</f>
        <v/>
      </c>
      <c r="Y40">
        <f>HYPERLINK("https://klasma.github.io/Logging_0583/kartor_geotiff/A 44814-2025 georefererad karta.tif", "A 44814-2025")</f>
        <v/>
      </c>
      <c r="AA40">
        <f>HYPERLINK("https://klasma.github.io/Logging_0583/klagomål/A 44814-2025 FSC-klagomål.docx", "A 44814-2025")</f>
        <v/>
      </c>
      <c r="AB40">
        <f>HYPERLINK("https://klasma.github.io/Logging_0583/klagomålsmail/A 44814-2025 FSC-klagomål mail.docx", "A 44814-2025")</f>
        <v/>
      </c>
      <c r="AC40">
        <f>HYPERLINK("https://klasma.github.io/Logging_0583/tillsyn/A 44814-2025 tillsynsbegäran.docx", "A 44814-2025")</f>
        <v/>
      </c>
      <c r="AD40">
        <f>HYPERLINK("https://klasma.github.io/Logging_0583/tillsynsmail/A 44814-2025 tillsynsbegäran mail.docx", "A 44814-2025")</f>
        <v/>
      </c>
    </row>
    <row r="41" ht="15" customHeight="1">
      <c r="A41" t="inlineStr">
        <is>
          <t>A 24554-2025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45798</v>
      </c>
      <c r="E41" s="1" t="n">
        <v>46288</v>
      </c>
      <c r="F41" t="inlineStr">
        <is>
          <t>ÖSTERGÖTLANDS LÄN</t>
        </is>
      </c>
      <c r="G41" t="inlineStr">
        <is>
          <t>MOTALA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HYPERLINK("https://klasma.github.io/Logging_0583/artfynd/A 24554-2025 artfynd.xlsx", "A 24554-2025")</f>
        <v/>
      </c>
      <c r="X41">
        <f>HYPERLINK("https://klasma.github.io/Logging_0583/kartor/A 24554-2025 karta.png", "A 24554-2025")</f>
        <v/>
      </c>
      <c r="Y41">
        <f>HYPERLINK("https://klasma.github.io/Logging_0583/kartor_geotiff/A 24554-2025 georefererad karta.tif", "A 24554-2025")</f>
        <v/>
      </c>
      <c r="AA41">
        <f>HYPERLINK("https://klasma.github.io/Logging_0583/klagomål/A 24554-2025 FSC-klagomål.docx", "A 24554-2025")</f>
        <v/>
      </c>
      <c r="AB41">
        <f>HYPERLINK("https://klasma.github.io/Logging_0583/klagomålsmail/A 24554-2025 FSC-klagomål mail.docx", "A 24554-2025")</f>
        <v/>
      </c>
      <c r="AC41">
        <f>HYPERLINK("https://klasma.github.io/Logging_0583/tillsyn/A 24554-2025 tillsynsbegäran.docx", "A 24554-2025")</f>
        <v/>
      </c>
      <c r="AD41">
        <f>HYPERLINK("https://klasma.github.io/Logging_0583/tillsynsmail/A 24554-2025 tillsynsbegäran mail.docx", "A 24554-2025")</f>
        <v/>
      </c>
    </row>
    <row r="42" ht="15" customHeight="1">
      <c r="A42" t="inlineStr">
        <is>
          <t>A 47332-2025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45930</v>
      </c>
      <c r="E42" s="1" t="n">
        <v>46288</v>
      </c>
      <c r="F42" t="inlineStr">
        <is>
          <t>ÖSTERGÖTLANDS LÄN</t>
        </is>
      </c>
      <c r="G42" t="inlineStr">
        <is>
          <t>MOTALA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HYPERLINK("https://klasma.github.io/Logging_0583/artfynd/A 47332-2025 artfynd.xlsx", "A 47332-2025")</f>
        <v/>
      </c>
      <c r="X42">
        <f>HYPERLINK("https://klasma.github.io/Logging_0583/kartor/A 47332-2025 karta.png", "A 47332-2025")</f>
        <v/>
      </c>
      <c r="Y42">
        <f>HYPERLINK("https://klasma.github.io/Logging_0583/kartor_geotiff/A 47332-2025 georefererad karta.tif", "A 47332-2025")</f>
        <v/>
      </c>
      <c r="AA42">
        <f>HYPERLINK("https://klasma.github.io/Logging_0583/klagomål/A 47332-2025 FSC-klagomål.docx", "A 47332-2025")</f>
        <v/>
      </c>
      <c r="AB42">
        <f>HYPERLINK("https://klasma.github.io/Logging_0583/klagomålsmail/A 47332-2025 FSC-klagomål mail.docx", "A 47332-2025")</f>
        <v/>
      </c>
      <c r="AC42">
        <f>HYPERLINK("https://klasma.github.io/Logging_0583/tillsyn/A 47332-2025 tillsynsbegäran.docx", "A 47332-2025")</f>
        <v/>
      </c>
      <c r="AD42">
        <f>HYPERLINK("https://klasma.github.io/Logging_0583/tillsynsmail/A 47332-2025 tillsynsbegäran mail.docx", "A 47332-2025")</f>
        <v/>
      </c>
    </row>
    <row r="43" ht="15" customHeight="1">
      <c r="A43" t="inlineStr">
        <is>
          <t>A 27907-2026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46191</v>
      </c>
      <c r="E43" s="1" t="n">
        <v>46288</v>
      </c>
      <c r="F43" t="inlineStr">
        <is>
          <t>ÖSTERGÖTLANDS LÄN</t>
        </is>
      </c>
      <c r="G43" t="inlineStr">
        <is>
          <t>MOTALA</t>
        </is>
      </c>
      <c r="H43" t="inlineStr">
        <is>
          <t>Holmen skog AB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HYPERLINK("https://klasma.github.io/Logging_0583/artfynd/A 27907-2026 artfynd.xlsx", "A 27907-2026")</f>
        <v/>
      </c>
      <c r="X43">
        <f>HYPERLINK("https://klasma.github.io/Logging_0583/kartor/A 27907-2026 karta.png", "A 27907-2026")</f>
        <v/>
      </c>
      <c r="Y43">
        <f>HYPERLINK("https://klasma.github.io/Logging_0583/kartor_geotiff/A 27907-2026 georefererad karta.tif", "A 27907-2026")</f>
        <v/>
      </c>
      <c r="AA43">
        <f>HYPERLINK("https://klasma.github.io/Logging_0583/klagomål/A 27907-2026 FSC-klagomål.docx", "A 27907-2026")</f>
        <v/>
      </c>
      <c r="AB43">
        <f>HYPERLINK("https://klasma.github.io/Logging_0583/klagomålsmail/A 27907-2026 FSC-klagomål mail.docx", "A 27907-2026")</f>
        <v/>
      </c>
      <c r="AC43">
        <f>HYPERLINK("https://klasma.github.io/Logging_0583/tillsyn/A 27907-2026 tillsynsbegäran.docx", "A 27907-2026")</f>
        <v/>
      </c>
      <c r="AD43">
        <f>HYPERLINK("https://klasma.github.io/Logging_0583/tillsynsmail/A 27907-2026 tillsynsbegäran mail.docx", "A 27907-2026")</f>
        <v/>
      </c>
      <c r="AE43">
        <f>HYPERLINK("https://klasma.github.io/Logging_0583/fåglar/A 27907-2026 prioriterade fågelarter.docx", "A 27907-2026")</f>
        <v/>
      </c>
    </row>
    <row r="44" ht="15" customHeight="1">
      <c r="A44" t="inlineStr">
        <is>
          <t>A 2194-2023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46288</v>
      </c>
      <c r="F44" t="inlineStr">
        <is>
          <t>ÖSTERGÖTLANDS LÄN</t>
        </is>
      </c>
      <c r="G44" t="inlineStr">
        <is>
          <t>MOTALA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Fiskgjuse</t>
        </is>
      </c>
      <c r="W44">
        <f>HYPERLINK("https://klasma.github.io/Logging_0583/artfynd/A 2194-2023 artfynd.xlsx", "A 2194-2023")</f>
        <v/>
      </c>
      <c r="X44">
        <f>HYPERLINK("https://klasma.github.io/Logging_0583/kartor/A 2194-2023 karta.png", "A 2194-2023")</f>
        <v/>
      </c>
      <c r="Y44">
        <f>HYPERLINK("https://klasma.github.io/Logging_0583/kartor_geotiff/A 2194-2023 georefererad karta.tif", "A 2194-2023")</f>
        <v/>
      </c>
      <c r="AA44">
        <f>HYPERLINK("https://klasma.github.io/Logging_0583/klagomål/A 2194-2023 FSC-klagomål.docx", "A 2194-2023")</f>
        <v/>
      </c>
      <c r="AB44">
        <f>HYPERLINK("https://klasma.github.io/Logging_0583/klagomålsmail/A 2194-2023 FSC-klagomål mail.docx", "A 2194-2023")</f>
        <v/>
      </c>
      <c r="AC44">
        <f>HYPERLINK("https://klasma.github.io/Logging_0583/tillsyn/A 2194-2023 tillsynsbegäran.docx", "A 2194-2023")</f>
        <v/>
      </c>
      <c r="AD44">
        <f>HYPERLINK("https://klasma.github.io/Logging_0583/tillsynsmail/A 2194-2023 tillsynsbegäran mail.docx", "A 2194-2023")</f>
        <v/>
      </c>
      <c r="AE44">
        <f>HYPERLINK("https://klasma.github.io/Logging_0583/fåglar/A 2194-2023 prioriterade fågelarter.docx", "A 2194-2023")</f>
        <v/>
      </c>
    </row>
    <row r="45" ht="15" customHeight="1">
      <c r="A45" t="inlineStr">
        <is>
          <t>A 17739-2026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46288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2.2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HYPERLINK("https://klasma.github.io/Logging_0583/artfynd/A 17739-2026 artfynd.xlsx", "A 17739-2026")</f>
        <v/>
      </c>
      <c r="X45">
        <f>HYPERLINK("https://klasma.github.io/Logging_0583/kartor/A 17739-2026 karta.png", "A 17739-2026")</f>
        <v/>
      </c>
      <c r="Y45">
        <f>HYPERLINK("https://klasma.github.io/Logging_0583/kartor_geotiff/A 17739-2026 georefererad karta.tif", "A 17739-2026")</f>
        <v/>
      </c>
      <c r="AA45">
        <f>HYPERLINK("https://klasma.github.io/Logging_0583/klagomål/A 17739-2026 FSC-klagomål.docx", "A 17739-2026")</f>
        <v/>
      </c>
      <c r="AB45">
        <f>HYPERLINK("https://klasma.github.io/Logging_0583/klagomålsmail/A 17739-2026 FSC-klagomål mail.docx", "A 17739-2026")</f>
        <v/>
      </c>
      <c r="AC45">
        <f>HYPERLINK("https://klasma.github.io/Logging_0583/tillsyn/A 17739-2026 tillsynsbegäran.docx", "A 17739-2026")</f>
        <v/>
      </c>
      <c r="AD45">
        <f>HYPERLINK("https://klasma.github.io/Logging_0583/tillsynsmail/A 17739-2026 tillsynsbegäran mail.docx", "A 17739-2026")</f>
        <v/>
      </c>
      <c r="AE45">
        <f>HYPERLINK("https://klasma.github.io/Logging_0583/fåglar/A 17739-2026 prioriterade fågelarter.docx", "A 17739-2026")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46288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17740-2026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46122</v>
      </c>
      <c r="E47" s="1" t="n">
        <v>46288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HYPERLINK("https://klasma.github.io/Logging_0583/artfynd/A 17740-2026 artfynd.xlsx", "A 17740-2026")</f>
        <v/>
      </c>
      <c r="X47">
        <f>HYPERLINK("https://klasma.github.io/Logging_0583/kartor/A 17740-2026 karta.png", "A 17740-2026")</f>
        <v/>
      </c>
      <c r="Y47">
        <f>HYPERLINK("https://klasma.github.io/Logging_0583/kartor_geotiff/A 17740-2026 georefererad karta.tif", "A 17740-2026")</f>
        <v/>
      </c>
      <c r="AA47">
        <f>HYPERLINK("https://klasma.github.io/Logging_0583/klagomål/A 17740-2026 FSC-klagomål.docx", "A 17740-2026")</f>
        <v/>
      </c>
      <c r="AB47">
        <f>HYPERLINK("https://klasma.github.io/Logging_0583/klagomålsmail/A 17740-2026 FSC-klagomål mail.docx", "A 17740-2026")</f>
        <v/>
      </c>
      <c r="AC47">
        <f>HYPERLINK("https://klasma.github.io/Logging_0583/tillsyn/A 17740-2026 tillsynsbegäran.docx", "A 17740-2026")</f>
        <v/>
      </c>
      <c r="AD47">
        <f>HYPERLINK("https://klasma.github.io/Logging_0583/tillsynsmail/A 17740-2026 tillsynsbegäran mail.docx", "A 17740-2026")</f>
        <v/>
      </c>
    </row>
    <row r="48" ht="15" customHeight="1">
      <c r="A48" t="inlineStr">
        <is>
          <t>A 52523-2022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46288</v>
      </c>
      <c r="F48" t="inlineStr">
        <is>
          <t>ÖSTERGÖTLANDS LÄN</t>
        </is>
      </c>
      <c r="G48" t="inlineStr">
        <is>
          <t>MOTALA</t>
        </is>
      </c>
      <c r="H48" t="inlineStr">
        <is>
          <t>Kyrkan</t>
        </is>
      </c>
      <c r="I48" t="n">
        <v>6.7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HYPERLINK("https://klasma.github.io/Logging_0583/artfynd/A 52523-2022 artfynd.xlsx", "A 52523-2022")</f>
        <v/>
      </c>
      <c r="X48">
        <f>HYPERLINK("https://klasma.github.io/Logging_0583/kartor/A 52523-2022 karta.png", "A 52523-2022")</f>
        <v/>
      </c>
      <c r="Y48">
        <f>HYPERLINK("https://klasma.github.io/Logging_0583/kartor_geotiff/A 52523-2022 georefererad karta.tif", "A 52523-2022")</f>
        <v/>
      </c>
      <c r="AA48">
        <f>HYPERLINK("https://klasma.github.io/Logging_0583/klagomål/A 52523-2022 FSC-klagomål.docx", "A 52523-2022")</f>
        <v/>
      </c>
      <c r="AB48">
        <f>HYPERLINK("https://klasma.github.io/Logging_0583/klagomålsmail/A 52523-2022 FSC-klagomål mail.docx", "A 52523-2022")</f>
        <v/>
      </c>
      <c r="AC48">
        <f>HYPERLINK("https://klasma.github.io/Logging_0583/tillsyn/A 52523-2022 tillsynsbegäran.docx", "A 52523-2022")</f>
        <v/>
      </c>
      <c r="AD48">
        <f>HYPERLINK("https://klasma.github.io/Logging_0583/tillsynsmail/A 52523-2022 tillsynsbegäran mail.docx", "A 52523-2022")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46288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46288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24686-2024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45460</v>
      </c>
      <c r="E51" s="1" t="n">
        <v>46288</v>
      </c>
      <c r="F51" t="inlineStr">
        <is>
          <t>ÖSTERGÖTLANDS LÄN</t>
        </is>
      </c>
      <c r="G51" t="inlineStr">
        <is>
          <t>MOTALA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HYPERLINK("https://klasma.github.io/Logging_0583/artfynd/A 24686-2024 artfynd.xlsx", "A 24686-2024")</f>
        <v/>
      </c>
      <c r="X51">
        <f>HYPERLINK("https://klasma.github.io/Logging_0583/kartor/A 24686-2024 karta.png", "A 24686-2024")</f>
        <v/>
      </c>
      <c r="Y51">
        <f>HYPERLINK("https://klasma.github.io/Logging_0583/kartor_geotiff/A 24686-2024 georefererad karta.tif", "A 24686-2024")</f>
        <v/>
      </c>
      <c r="AA51">
        <f>HYPERLINK("https://klasma.github.io/Logging_0583/klagomål/A 24686-2024 FSC-klagomål.docx", "A 24686-2024")</f>
        <v/>
      </c>
      <c r="AB51">
        <f>HYPERLINK("https://klasma.github.io/Logging_0583/klagomålsmail/A 24686-2024 FSC-klagomål mail.docx", "A 24686-2024")</f>
        <v/>
      </c>
      <c r="AC51">
        <f>HYPERLINK("https://klasma.github.io/Logging_0583/tillsyn/A 24686-2024 tillsynsbegäran.docx", "A 24686-2024")</f>
        <v/>
      </c>
      <c r="AD51">
        <f>HYPERLINK("https://klasma.github.io/Logging_0583/tillsynsmail/A 24686-2024 tillsynsbegäran mail.docx", "A 24686-2024")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46288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46288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2682-2022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44701</v>
      </c>
      <c r="E54" s="1" t="n">
        <v>46288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HYPERLINK("https://klasma.github.io/Logging_0583/artfynd/S 2682-2022 artfynd.xlsx", "S 2682-2022")</f>
        <v/>
      </c>
      <c r="X54">
        <f>HYPERLINK("https://klasma.github.io/Logging_0583/kartor/S 2682-2022 karta.png", "S 2682-2022")</f>
        <v/>
      </c>
      <c r="Y54">
        <f>HYPERLINK("https://klasma.github.io/Logging_0583/kartor_geotiff/S 2682-2022 georefererad karta.tif", "S 2682-2022")</f>
        <v/>
      </c>
      <c r="AA54">
        <f>HYPERLINK("https://klasma.github.io/Logging_0583/klagomål/S 2682-2022 FSC-klagomål.docx", "S 2682-2022")</f>
        <v/>
      </c>
      <c r="AB54">
        <f>HYPERLINK("https://klasma.github.io/Logging_0583/klagomålsmail/S 2682-2022 FSC-klagomål mail.docx", "S 2682-2022")</f>
        <v/>
      </c>
      <c r="AC54">
        <f>HYPERLINK("https://klasma.github.io/Logging_0583/tillsyn/S 2682-2022 tillsynsbegäran.docx", "S 2682-2022")</f>
        <v/>
      </c>
      <c r="AD54">
        <f>HYPERLINK("https://klasma.github.io/Logging_0583/tillsynsmail/S 2682-2022 tillsynsbegäran mail.docx", "S 2682-2022")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46288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46288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46288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46288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46288</v>
      </c>
      <c r="F59" t="inlineStr">
        <is>
          <t>ÖSTERGÖTLANDS LÄN</t>
        </is>
      </c>
      <c r="G59" t="inlineStr">
        <is>
          <t>MOTALA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46288</v>
      </c>
      <c r="F60" t="inlineStr">
        <is>
          <t>ÖSTERGÖTLANDS LÄN</t>
        </is>
      </c>
      <c r="G60" t="inlineStr">
        <is>
          <t>MOTALA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44572</v>
      </c>
      <c r="E61" s="1" t="n">
        <v>46288</v>
      </c>
      <c r="F61" t="inlineStr">
        <is>
          <t>ÖSTERGÖTLANDS LÄN</t>
        </is>
      </c>
      <c r="G61" t="inlineStr">
        <is>
          <t>MOTALA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46288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46288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46288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46288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46288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46288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46288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46288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46288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46288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46288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46288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46288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46288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46288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46288</v>
      </c>
      <c r="F77" t="inlineStr">
        <is>
          <t>ÖSTERGÖTLANDS LÄN</t>
        </is>
      </c>
      <c r="G77" t="inlineStr">
        <is>
          <t>MOTALA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46288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46288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46288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46288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46288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44495</v>
      </c>
      <c r="E83" s="1" t="n">
        <v>46288</v>
      </c>
      <c r="F83" t="inlineStr">
        <is>
          <t>ÖSTERGÖTLANDS LÄN</t>
        </is>
      </c>
      <c r="G83" t="inlineStr">
        <is>
          <t>MOTALA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46288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46288</v>
      </c>
      <c r="F85" t="inlineStr">
        <is>
          <t>ÖSTERGÖTLANDS LÄN</t>
        </is>
      </c>
      <c r="G85" t="inlineStr">
        <is>
          <t>MOTALA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46288</v>
      </c>
      <c r="F86" t="inlineStr">
        <is>
          <t>ÖSTERGÖTLANDS LÄN</t>
        </is>
      </c>
      <c r="G86" t="inlineStr">
        <is>
          <t>MOTALA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46288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46288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46288</v>
      </c>
      <c r="F89" t="inlineStr">
        <is>
          <t>ÖSTERGÖTLANDS LÄN</t>
        </is>
      </c>
      <c r="G89" t="inlineStr">
        <is>
          <t>MOTALA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46288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46288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46288</v>
      </c>
      <c r="F92" t="inlineStr">
        <is>
          <t>ÖSTERGÖTLANDS LÄN</t>
        </is>
      </c>
      <c r="G92" t="inlineStr">
        <is>
          <t>MOTALA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46288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46288</v>
      </c>
      <c r="F94" t="inlineStr">
        <is>
          <t>ÖSTERGÖTLANDS LÄN</t>
        </is>
      </c>
      <c r="G94" t="inlineStr">
        <is>
          <t>MOTALA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46288</v>
      </c>
      <c r="F95" t="inlineStr">
        <is>
          <t>ÖSTERGÖTLANDS LÄN</t>
        </is>
      </c>
      <c r="G95" t="inlineStr">
        <is>
          <t>MOTALA</t>
        </is>
      </c>
      <c r="H95" t="inlineStr">
        <is>
          <t>Övriga statliga verk och myndigheter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44503</v>
      </c>
      <c r="E96" s="1" t="n">
        <v>46288</v>
      </c>
      <c r="F96" t="inlineStr">
        <is>
          <t>ÖSTERGÖTLANDS LÄN</t>
        </is>
      </c>
      <c r="G96" t="inlineStr">
        <is>
          <t>MOTALA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44799</v>
      </c>
      <c r="E97" s="1" t="n">
        <v>46288</v>
      </c>
      <c r="F97" t="inlineStr">
        <is>
          <t>ÖSTERGÖTLANDS LÄN</t>
        </is>
      </c>
      <c r="G97" t="inlineStr">
        <is>
          <t>MOTALA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46288</v>
      </c>
      <c r="F98" t="inlineStr">
        <is>
          <t>ÖSTERGÖTLANDS LÄN</t>
        </is>
      </c>
      <c r="G98" t="inlineStr">
        <is>
          <t>MOTALA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46288</v>
      </c>
      <c r="F99" t="inlineStr">
        <is>
          <t>ÖSTERGÖTLANDS LÄN</t>
        </is>
      </c>
      <c r="G99" t="inlineStr">
        <is>
          <t>MOTALA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46288</v>
      </c>
      <c r="F100" t="inlineStr">
        <is>
          <t>ÖSTERGÖTLANDS LÄN</t>
        </is>
      </c>
      <c r="G100" t="inlineStr">
        <is>
          <t>MOTALA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67748-2021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44525</v>
      </c>
      <c r="E101" s="1" t="n">
        <v>46288</v>
      </c>
      <c r="F101" t="inlineStr">
        <is>
          <t>ÖSTERGÖTLANDS LÄN</t>
        </is>
      </c>
      <c r="G101" t="inlineStr">
        <is>
          <t>MOTALA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46288</v>
      </c>
      <c r="F102" t="inlineStr">
        <is>
          <t>ÖSTERGÖTLANDS LÄN</t>
        </is>
      </c>
      <c r="G102" t="inlineStr">
        <is>
          <t>MOTALA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46288</v>
      </c>
      <c r="F103" t="inlineStr">
        <is>
          <t>ÖSTERGÖTLANDS LÄN</t>
        </is>
      </c>
      <c r="G103" t="inlineStr">
        <is>
          <t>MOTALA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46288</v>
      </c>
      <c r="F104" t="inlineStr">
        <is>
          <t>ÖSTERGÖTLANDS LÄN</t>
        </is>
      </c>
      <c r="G104" t="inlineStr">
        <is>
          <t>MOTALA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46288</v>
      </c>
      <c r="F105" t="inlineStr">
        <is>
          <t>ÖSTERGÖTLANDS LÄN</t>
        </is>
      </c>
      <c r="G105" t="inlineStr">
        <is>
          <t>MOTALA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46288</v>
      </c>
      <c r="F106" t="inlineStr">
        <is>
          <t>ÖSTERGÖTLANDS LÄN</t>
        </is>
      </c>
      <c r="G106" t="inlineStr">
        <is>
          <t>MOTALA</t>
        </is>
      </c>
      <c r="H106" t="inlineStr">
        <is>
          <t>Övriga statliga verk och myndigheter</t>
        </is>
      </c>
      <c r="I106" t="n">
        <v>21.3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68288-2021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44526</v>
      </c>
      <c r="E107" s="1" t="n">
        <v>46288</v>
      </c>
      <c r="F107" t="inlineStr">
        <is>
          <t>ÖSTERGÖTLANDS LÄN</t>
        </is>
      </c>
      <c r="G107" t="inlineStr">
        <is>
          <t>MOTALA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68348-2021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44528</v>
      </c>
      <c r="E108" s="1" t="n">
        <v>46288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46288</v>
      </c>
      <c r="F109" t="inlineStr">
        <is>
          <t>ÖSTERGÖTLANDS LÄN</t>
        </is>
      </c>
      <c r="G109" t="inlineStr">
        <is>
          <t>MOTALA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46288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46288</v>
      </c>
      <c r="F111" t="inlineStr">
        <is>
          <t>ÖSTERGÖTLANDS LÄN</t>
        </is>
      </c>
      <c r="G111" t="inlineStr">
        <is>
          <t>MOTALA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44484</v>
      </c>
      <c r="E112" s="1" t="n">
        <v>46288</v>
      </c>
      <c r="F112" t="inlineStr">
        <is>
          <t>ÖSTERGÖTLANDS LÄN</t>
        </is>
      </c>
      <c r="G112" t="inlineStr">
        <is>
          <t>MOTALA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46288</v>
      </c>
      <c r="F113" t="inlineStr">
        <is>
          <t>ÖSTERGÖTLANDS LÄN</t>
        </is>
      </c>
      <c r="G113" t="inlineStr">
        <is>
          <t>MOTALA</t>
        </is>
      </c>
      <c r="H113" t="inlineStr">
        <is>
          <t>Övriga statliga verk och myndigheter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46288</v>
      </c>
      <c r="F114" t="inlineStr">
        <is>
          <t>ÖSTERGÖTLANDS LÄN</t>
        </is>
      </c>
      <c r="G114" t="inlineStr">
        <is>
          <t>MOTALA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44984</v>
      </c>
      <c r="E115" s="1" t="n">
        <v>46288</v>
      </c>
      <c r="F115" t="inlineStr">
        <is>
          <t>ÖSTERGÖTLANDS LÄN</t>
        </is>
      </c>
      <c r="G115" t="inlineStr">
        <is>
          <t>MOTALA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46288</v>
      </c>
      <c r="F116" t="inlineStr">
        <is>
          <t>ÖSTERGÖTLANDS LÄN</t>
        </is>
      </c>
      <c r="G116" t="inlineStr">
        <is>
          <t>MOTALA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46288</v>
      </c>
      <c r="F117" t="inlineStr">
        <is>
          <t>ÖSTERGÖTLANDS LÄN</t>
        </is>
      </c>
      <c r="G117" t="inlineStr">
        <is>
          <t>MOTALA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45387</v>
      </c>
      <c r="E118" s="1" t="n">
        <v>46288</v>
      </c>
      <c r="F118" t="inlineStr">
        <is>
          <t>ÖSTERGÖTLANDS LÄN</t>
        </is>
      </c>
      <c r="G118" t="inlineStr">
        <is>
          <t>MOTALA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46288</v>
      </c>
      <c r="F119" t="inlineStr">
        <is>
          <t>ÖSTERGÖTLANDS LÄN</t>
        </is>
      </c>
      <c r="G119" t="inlineStr">
        <is>
          <t>MOTALA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46288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46288</v>
      </c>
      <c r="F121" t="inlineStr">
        <is>
          <t>ÖSTERGÖTLANDS LÄN</t>
        </is>
      </c>
      <c r="G121" t="inlineStr">
        <is>
          <t>MOTALA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46288</v>
      </c>
      <c r="F122" t="inlineStr">
        <is>
          <t>ÖSTERGÖTLANDS LÄN</t>
        </is>
      </c>
      <c r="G122" t="inlineStr">
        <is>
          <t>MOTALA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45454</v>
      </c>
      <c r="E123" s="1" t="n">
        <v>46288</v>
      </c>
      <c r="F123" t="inlineStr">
        <is>
          <t>ÖSTERGÖTLANDS LÄN</t>
        </is>
      </c>
      <c r="G123" t="inlineStr">
        <is>
          <t>MOTALA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46288</v>
      </c>
      <c r="F124" t="inlineStr">
        <is>
          <t>ÖSTERGÖTLANDS LÄN</t>
        </is>
      </c>
      <c r="G124" t="inlineStr">
        <is>
          <t>MOTALA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46288</v>
      </c>
      <c r="F125" t="inlineStr">
        <is>
          <t>ÖSTERGÖTLANDS LÄN</t>
        </is>
      </c>
      <c r="G125" t="inlineStr">
        <is>
          <t>MOTALA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46288</v>
      </c>
      <c r="F126" t="inlineStr">
        <is>
          <t>ÖSTERGÖTLANDS LÄN</t>
        </is>
      </c>
      <c r="G126" t="inlineStr">
        <is>
          <t>MOTALA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44606</v>
      </c>
      <c r="E127" s="1" t="n">
        <v>46288</v>
      </c>
      <c r="F127" t="inlineStr">
        <is>
          <t>ÖSTERGÖTLANDS LÄN</t>
        </is>
      </c>
      <c r="G127" t="inlineStr">
        <is>
          <t>MOTALA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45114</v>
      </c>
      <c r="E128" s="1" t="n">
        <v>46288</v>
      </c>
      <c r="F128" t="inlineStr">
        <is>
          <t>ÖSTERGÖTLANDS LÄN</t>
        </is>
      </c>
      <c r="G128" t="inlineStr">
        <is>
          <t>MOTALA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46288</v>
      </c>
      <c r="F129" t="inlineStr">
        <is>
          <t>ÖSTERGÖTLANDS LÄN</t>
        </is>
      </c>
      <c r="G129" t="inlineStr">
        <is>
          <t>MOTALA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46288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46288</v>
      </c>
      <c r="F131" t="inlineStr">
        <is>
          <t>ÖSTERGÖTLANDS LÄN</t>
        </is>
      </c>
      <c r="G131" t="inlineStr">
        <is>
          <t>MOTALA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45302</v>
      </c>
      <c r="E132" s="1" t="n">
        <v>46288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46288</v>
      </c>
      <c r="F133" t="inlineStr">
        <is>
          <t>ÖSTERGÖTLANDS LÄN</t>
        </is>
      </c>
      <c r="G133" t="inlineStr">
        <is>
          <t>MOTALA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46288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46288</v>
      </c>
      <c r="F135" t="inlineStr">
        <is>
          <t>ÖSTERGÖTLANDS LÄN</t>
        </is>
      </c>
      <c r="G135" t="inlineStr">
        <is>
          <t>MOTALA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46288</v>
      </c>
      <c r="F136" t="inlineStr">
        <is>
          <t>ÖSTERGÖTLANDS LÄN</t>
        </is>
      </c>
      <c r="G136" t="inlineStr">
        <is>
          <t>MOTALA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46288</v>
      </c>
      <c r="F137" t="inlineStr">
        <is>
          <t>ÖSTERGÖTLANDS LÄN</t>
        </is>
      </c>
      <c r="G137" t="inlineStr">
        <is>
          <t>MOTALA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44935</v>
      </c>
      <c r="E138" s="1" t="n">
        <v>46288</v>
      </c>
      <c r="F138" t="inlineStr">
        <is>
          <t>ÖSTERGÖTLANDS LÄN</t>
        </is>
      </c>
      <c r="G138" t="inlineStr">
        <is>
          <t>MOTALA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44937</v>
      </c>
      <c r="E139" s="1" t="n">
        <v>46288</v>
      </c>
      <c r="F139" t="inlineStr">
        <is>
          <t>ÖSTERGÖTLANDS LÄN</t>
        </is>
      </c>
      <c r="G139" t="inlineStr">
        <is>
          <t>MOTALA</t>
        </is>
      </c>
      <c r="H139" t="inlineStr">
        <is>
          <t>Kommuner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46288</v>
      </c>
      <c r="F140" t="inlineStr">
        <is>
          <t>ÖSTERGÖTLANDS LÄN</t>
        </is>
      </c>
      <c r="G140" t="inlineStr">
        <is>
          <t>MOTALA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44750</v>
      </c>
      <c r="E141" s="1" t="n">
        <v>46288</v>
      </c>
      <c r="F141" t="inlineStr">
        <is>
          <t>ÖSTERGÖTLANDS LÄN</t>
        </is>
      </c>
      <c r="G141" t="inlineStr">
        <is>
          <t>MOTALA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46288</v>
      </c>
      <c r="F142" t="inlineStr">
        <is>
          <t>ÖSTERGÖTLANDS LÄN</t>
        </is>
      </c>
      <c r="G142" t="inlineStr">
        <is>
          <t>MOTALA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46288</v>
      </c>
      <c r="F143" t="inlineStr">
        <is>
          <t>ÖSTERGÖTLANDS LÄN</t>
        </is>
      </c>
      <c r="G143" t="inlineStr">
        <is>
          <t>MOTALA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45111</v>
      </c>
      <c r="E144" s="1" t="n">
        <v>46288</v>
      </c>
      <c r="F144" t="inlineStr">
        <is>
          <t>ÖSTERGÖTLANDS LÄN</t>
        </is>
      </c>
      <c r="G144" t="inlineStr">
        <is>
          <t>MOTALA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46288</v>
      </c>
      <c r="F145" t="inlineStr">
        <is>
          <t>ÖSTERGÖTLANDS LÄN</t>
        </is>
      </c>
      <c r="G145" t="inlineStr">
        <is>
          <t>MOTALA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46288</v>
      </c>
      <c r="F146" t="inlineStr">
        <is>
          <t>ÖSTERGÖTLANDS LÄN</t>
        </is>
      </c>
      <c r="G146" t="inlineStr">
        <is>
          <t>MOTALA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46288</v>
      </c>
      <c r="F147" t="inlineStr">
        <is>
          <t>ÖSTERGÖTLANDS LÄN</t>
        </is>
      </c>
      <c r="G147" t="inlineStr">
        <is>
          <t>MOTALA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46288</v>
      </c>
      <c r="F148" t="inlineStr">
        <is>
          <t>ÖSTERGÖTLANDS LÄN</t>
        </is>
      </c>
      <c r="G148" t="inlineStr">
        <is>
          <t>MOTALA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46288</v>
      </c>
      <c r="F149" t="inlineStr">
        <is>
          <t>ÖSTERGÖTLANDS LÄN</t>
        </is>
      </c>
      <c r="G149" t="inlineStr">
        <is>
          <t>MOTALA</t>
        </is>
      </c>
      <c r="I149" t="n">
        <v>17.6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2028-2022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44575</v>
      </c>
      <c r="E150" s="1" t="n">
        <v>46288</v>
      </c>
      <c r="F150" t="inlineStr">
        <is>
          <t>ÖSTERGÖTLANDS LÄN</t>
        </is>
      </c>
      <c r="G150" t="inlineStr">
        <is>
          <t>MOTALA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46288</v>
      </c>
      <c r="F151" t="inlineStr">
        <is>
          <t>ÖSTERGÖTLANDS LÄN</t>
        </is>
      </c>
      <c r="G151" t="inlineStr">
        <is>
          <t>MOTALA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46288</v>
      </c>
      <c r="F152" t="inlineStr">
        <is>
          <t>ÖSTERGÖTLANDS LÄN</t>
        </is>
      </c>
      <c r="G152" t="inlineStr">
        <is>
          <t>MOTALA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45401</v>
      </c>
      <c r="E153" s="1" t="n">
        <v>46288</v>
      </c>
      <c r="F153" t="inlineStr">
        <is>
          <t>ÖSTERGÖTLANDS LÄN</t>
        </is>
      </c>
      <c r="G153" t="inlineStr">
        <is>
          <t>MOTALA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44776</v>
      </c>
      <c r="E154" s="1" t="n">
        <v>46288</v>
      </c>
      <c r="F154" t="inlineStr">
        <is>
          <t>ÖSTERGÖTLANDS LÄN</t>
        </is>
      </c>
      <c r="G154" t="inlineStr">
        <is>
          <t>MOTALA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46288</v>
      </c>
      <c r="F155" t="inlineStr">
        <is>
          <t>ÖSTERGÖTLANDS LÄN</t>
        </is>
      </c>
      <c r="G155" t="inlineStr">
        <is>
          <t>MOTALA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46288</v>
      </c>
      <c r="F156" t="inlineStr">
        <is>
          <t>ÖSTERGÖTLANDS LÄN</t>
        </is>
      </c>
      <c r="G156" t="inlineStr">
        <is>
          <t>MOTALA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46288</v>
      </c>
      <c r="F157" t="inlineStr">
        <is>
          <t>ÖSTERGÖTLANDS LÄN</t>
        </is>
      </c>
      <c r="G157" t="inlineStr">
        <is>
          <t>MOTALA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46288</v>
      </c>
      <c r="F158" t="inlineStr">
        <is>
          <t>ÖSTERGÖTLANDS LÄN</t>
        </is>
      </c>
      <c r="G158" t="inlineStr">
        <is>
          <t>MOTALA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46288</v>
      </c>
      <c r="F159" t="inlineStr">
        <is>
          <t>ÖSTERGÖTLANDS LÄN</t>
        </is>
      </c>
      <c r="G159" t="inlineStr">
        <is>
          <t>MOTALA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45470</v>
      </c>
      <c r="E160" s="1" t="n">
        <v>46288</v>
      </c>
      <c r="F160" t="inlineStr">
        <is>
          <t>ÖSTERGÖTLANDS LÄN</t>
        </is>
      </c>
      <c r="G160" t="inlineStr">
        <is>
          <t>MOTALA</t>
        </is>
      </c>
      <c r="H160" t="inlineStr">
        <is>
          <t>Sveaskog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44914</v>
      </c>
      <c r="E161" s="1" t="n">
        <v>46288</v>
      </c>
      <c r="F161" t="inlineStr">
        <is>
          <t>ÖSTERGÖTLANDS LÄN</t>
        </is>
      </c>
      <c r="G161" t="inlineStr">
        <is>
          <t>MOTALA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45237</v>
      </c>
      <c r="E162" s="1" t="n">
        <v>46288</v>
      </c>
      <c r="F162" t="inlineStr">
        <is>
          <t>ÖSTERGÖTLANDS LÄN</t>
        </is>
      </c>
      <c r="G162" t="inlineStr">
        <is>
          <t>MOTALA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46288</v>
      </c>
      <c r="F163" t="inlineStr">
        <is>
          <t>ÖSTERGÖTLANDS LÄN</t>
        </is>
      </c>
      <c r="G163" t="inlineStr">
        <is>
          <t>MOTALA</t>
        </is>
      </c>
      <c r="H163" t="inlineStr">
        <is>
          <t>Sveaskog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46288</v>
      </c>
      <c r="F164" t="inlineStr">
        <is>
          <t>ÖSTERGÖTLANDS LÄN</t>
        </is>
      </c>
      <c r="G164" t="inlineStr">
        <is>
          <t>MOTALA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13422-2022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44645</v>
      </c>
      <c r="E165" s="1" t="n">
        <v>46288</v>
      </c>
      <c r="F165" t="inlineStr">
        <is>
          <t>ÖSTERGÖTLANDS LÄN</t>
        </is>
      </c>
      <c r="G165" t="inlineStr">
        <is>
          <t>MOTALA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46288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46288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46288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46288</v>
      </c>
      <c r="F169" t="inlineStr">
        <is>
          <t>ÖSTERGÖTLANDS LÄN</t>
        </is>
      </c>
      <c r="G169" t="inlineStr">
        <is>
          <t>MOTALA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46288</v>
      </c>
      <c r="F170" t="inlineStr">
        <is>
          <t>ÖSTERGÖTLANDS LÄN</t>
        </is>
      </c>
      <c r="G170" t="inlineStr">
        <is>
          <t>MOTALA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46288</v>
      </c>
      <c r="F171" t="inlineStr">
        <is>
          <t>ÖSTERGÖTLANDS LÄN</t>
        </is>
      </c>
      <c r="G171" t="inlineStr">
        <is>
          <t>MOTALA</t>
        </is>
      </c>
      <c r="H171" t="inlineStr">
        <is>
          <t>Allmännings- och besparingsskogar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45695</v>
      </c>
      <c r="E172" s="1" t="n">
        <v>46288</v>
      </c>
      <c r="F172" t="inlineStr">
        <is>
          <t>ÖSTERGÖTLANDS LÄN</t>
        </is>
      </c>
      <c r="G172" t="inlineStr">
        <is>
          <t>MOTALA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46288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57992-2021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44487</v>
      </c>
      <c r="E174" s="1" t="n">
        <v>46288</v>
      </c>
      <c r="F174" t="inlineStr">
        <is>
          <t>ÖSTERGÖTLANDS LÄN</t>
        </is>
      </c>
      <c r="G174" t="inlineStr">
        <is>
          <t>MOTALA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46288</v>
      </c>
      <c r="F175" t="inlineStr">
        <is>
          <t>ÖSTERGÖTLANDS LÄN</t>
        </is>
      </c>
      <c r="G175" t="inlineStr">
        <is>
          <t>MOTALA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46288</v>
      </c>
      <c r="F176" t="inlineStr">
        <is>
          <t>ÖSTERGÖTLANDS LÄN</t>
        </is>
      </c>
      <c r="G176" t="inlineStr">
        <is>
          <t>MOTALA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46288</v>
      </c>
      <c r="F177" t="inlineStr">
        <is>
          <t>ÖSTERGÖTLANDS LÄN</t>
        </is>
      </c>
      <c r="G177" t="inlineStr">
        <is>
          <t>MOTALA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44967</v>
      </c>
      <c r="E178" s="1" t="n">
        <v>46288</v>
      </c>
      <c r="F178" t="inlineStr">
        <is>
          <t>ÖSTERGÖTLANDS LÄN</t>
        </is>
      </c>
      <c r="G178" t="inlineStr">
        <is>
          <t>MOTALA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46288</v>
      </c>
      <c r="F179" t="inlineStr">
        <is>
          <t>ÖSTERGÖTLANDS LÄN</t>
        </is>
      </c>
      <c r="G179" t="inlineStr">
        <is>
          <t>MOTALA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60610-2022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44911</v>
      </c>
      <c r="E180" s="1" t="n">
        <v>46288</v>
      </c>
      <c r="F180" t="inlineStr">
        <is>
          <t>ÖSTERGÖTLANDS LÄN</t>
        </is>
      </c>
      <c r="G180" t="inlineStr">
        <is>
          <t>MOTALA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46288</v>
      </c>
      <c r="F181" t="inlineStr">
        <is>
          <t>ÖSTERGÖTLANDS LÄN</t>
        </is>
      </c>
      <c r="G181" t="inlineStr">
        <is>
          <t>MOTALA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46288</v>
      </c>
      <c r="F182" t="inlineStr">
        <is>
          <t>ÖSTERGÖTLANDS LÄN</t>
        </is>
      </c>
      <c r="G182" t="inlineStr">
        <is>
          <t>MOTALA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46288</v>
      </c>
      <c r="F183" t="inlineStr">
        <is>
          <t>ÖSTERGÖTLANDS LÄN</t>
        </is>
      </c>
      <c r="G183" t="inlineStr">
        <is>
          <t>MOTALA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46288</v>
      </c>
      <c r="F184" t="inlineStr">
        <is>
          <t>ÖSTERGÖTLANDS LÄN</t>
        </is>
      </c>
      <c r="G184" t="inlineStr">
        <is>
          <t>MOTALA</t>
        </is>
      </c>
      <c r="H184" t="inlineStr">
        <is>
          <t>Övriga statliga verk och myndigheter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46288</v>
      </c>
      <c r="F185" t="inlineStr">
        <is>
          <t>ÖSTERGÖTLANDS LÄN</t>
        </is>
      </c>
      <c r="G185" t="inlineStr">
        <is>
          <t>MOTALA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46288</v>
      </c>
      <c r="F186" t="inlineStr">
        <is>
          <t>ÖSTERGÖTLANDS LÄN</t>
        </is>
      </c>
      <c r="G186" t="inlineStr">
        <is>
          <t>MOTALA</t>
        </is>
      </c>
      <c r="H186" t="inlineStr">
        <is>
          <t>Sveaskog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45069</v>
      </c>
      <c r="E187" s="1" t="n">
        <v>46288</v>
      </c>
      <c r="F187" t="inlineStr">
        <is>
          <t>ÖSTERGÖTLANDS LÄN</t>
        </is>
      </c>
      <c r="G187" t="inlineStr">
        <is>
          <t>MOTALA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46288</v>
      </c>
      <c r="F188" t="inlineStr">
        <is>
          <t>ÖSTERGÖTLANDS LÄN</t>
        </is>
      </c>
      <c r="G188" t="inlineStr">
        <is>
          <t>MOTALA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46288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46288</v>
      </c>
      <c r="F190" t="inlineStr">
        <is>
          <t>ÖSTERGÖTLANDS LÄN</t>
        </is>
      </c>
      <c r="G190" t="inlineStr">
        <is>
          <t>MOTALA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46288</v>
      </c>
      <c r="F191" t="inlineStr">
        <is>
          <t>ÖSTERGÖTLANDS LÄN</t>
        </is>
      </c>
      <c r="G191" t="inlineStr">
        <is>
          <t>MOTALA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46288</v>
      </c>
      <c r="F192" t="inlineStr">
        <is>
          <t>ÖSTERGÖTLANDS LÄN</t>
        </is>
      </c>
      <c r="G192" t="inlineStr">
        <is>
          <t>MOTALA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46288</v>
      </c>
      <c r="F193" t="inlineStr">
        <is>
          <t>ÖSTERGÖTLANDS LÄN</t>
        </is>
      </c>
      <c r="G193" t="inlineStr">
        <is>
          <t>MOTALA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46288</v>
      </c>
      <c r="F194" t="inlineStr">
        <is>
          <t>ÖSTERGÖTLANDS LÄN</t>
        </is>
      </c>
      <c r="G194" t="inlineStr">
        <is>
          <t>MOTALA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46288</v>
      </c>
      <c r="F195" t="inlineStr">
        <is>
          <t>ÖSTERGÖTLANDS LÄN</t>
        </is>
      </c>
      <c r="G195" t="inlineStr">
        <is>
          <t>MOTALA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46288</v>
      </c>
      <c r="F196" t="inlineStr">
        <is>
          <t>ÖSTERGÖTLANDS LÄN</t>
        </is>
      </c>
      <c r="G196" t="inlineStr">
        <is>
          <t>MOTALA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44592</v>
      </c>
      <c r="E197" s="1" t="n">
        <v>46288</v>
      </c>
      <c r="F197" t="inlineStr">
        <is>
          <t>ÖSTERGÖTLANDS LÄN</t>
        </is>
      </c>
      <c r="G197" t="inlineStr">
        <is>
          <t>MOTALA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46288</v>
      </c>
      <c r="F198" t="inlineStr">
        <is>
          <t>ÖSTERGÖTLANDS LÄN</t>
        </is>
      </c>
      <c r="G198" t="inlineStr">
        <is>
          <t>MOTALA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46288</v>
      </c>
      <c r="F199" t="inlineStr">
        <is>
          <t>ÖSTERGÖTLANDS LÄN</t>
        </is>
      </c>
      <c r="G199" t="inlineStr">
        <is>
          <t>MOTALA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45237-2024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46288</v>
      </c>
      <c r="F200" t="inlineStr">
        <is>
          <t>ÖSTERGÖTLANDS LÄN</t>
        </is>
      </c>
      <c r="G200" t="inlineStr">
        <is>
          <t>MOTALA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20815-2026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46141</v>
      </c>
      <c r="E201" s="1" t="n">
        <v>46288</v>
      </c>
      <c r="F201" t="inlineStr">
        <is>
          <t>ÖSTERGÖTLANDS LÄN</t>
        </is>
      </c>
      <c r="G201" t="inlineStr">
        <is>
          <t>MOTALA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44881</v>
      </c>
      <c r="E202" s="1" t="n">
        <v>46288</v>
      </c>
      <c r="F202" t="inlineStr">
        <is>
          <t>ÖSTERGÖTLANDS LÄN</t>
        </is>
      </c>
      <c r="G202" t="inlineStr">
        <is>
          <t>MOTALA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46288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20.4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46142</v>
      </c>
      <c r="E204" s="1" t="n">
        <v>46288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46288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46288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46288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46288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46288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46288</v>
      </c>
      <c r="F210" t="inlineStr">
        <is>
          <t>ÖSTERGÖTLANDS LÄN</t>
        </is>
      </c>
      <c r="G210" t="inlineStr">
        <is>
          <t>MOTALA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45659</v>
      </c>
      <c r="E211" s="1" t="n">
        <v>46288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64186-2023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45279</v>
      </c>
      <c r="E212" s="1" t="n">
        <v>46288</v>
      </c>
      <c r="F212" t="inlineStr">
        <is>
          <t>ÖSTERGÖTLANDS LÄN</t>
        </is>
      </c>
      <c r="G212" t="inlineStr">
        <is>
          <t>MOTALA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46288</v>
      </c>
      <c r="F213" t="inlineStr">
        <is>
          <t>ÖSTERGÖTLANDS LÄN</t>
        </is>
      </c>
      <c r="G213" t="inlineStr">
        <is>
          <t>MOTALA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46288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46288</v>
      </c>
      <c r="F215" t="inlineStr">
        <is>
          <t>ÖSTERGÖTLANDS LÄN</t>
        </is>
      </c>
      <c r="G215" t="inlineStr">
        <is>
          <t>MOTALA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44776</v>
      </c>
      <c r="E216" s="1" t="n">
        <v>46288</v>
      </c>
      <c r="F216" t="inlineStr">
        <is>
          <t>ÖSTERGÖTLANDS LÄN</t>
        </is>
      </c>
      <c r="G216" t="inlineStr">
        <is>
          <t>MOTALA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46288</v>
      </c>
      <c r="F217" t="inlineStr">
        <is>
          <t>ÖSTERGÖTLANDS LÄN</t>
        </is>
      </c>
      <c r="G217" t="inlineStr">
        <is>
          <t>MOTALA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45351</v>
      </c>
      <c r="E218" s="1" t="n">
        <v>46288</v>
      </c>
      <c r="F218" t="inlineStr">
        <is>
          <t>ÖSTERGÖTLANDS LÄN</t>
        </is>
      </c>
      <c r="G218" t="inlineStr">
        <is>
          <t>MOTALA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45484</v>
      </c>
      <c r="E219" s="1" t="n">
        <v>46288</v>
      </c>
      <c r="F219" t="inlineStr">
        <is>
          <t>ÖSTERGÖTLANDS LÄN</t>
        </is>
      </c>
      <c r="G219" t="inlineStr">
        <is>
          <t>MOTALA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46158</v>
      </c>
      <c r="E220" s="1" t="n">
        <v>46288</v>
      </c>
      <c r="F220" t="inlineStr">
        <is>
          <t>ÖSTERGÖTLANDS LÄN</t>
        </is>
      </c>
      <c r="G220" t="inlineStr">
        <is>
          <t>MOTALA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46160</v>
      </c>
      <c r="E221" s="1" t="n">
        <v>46288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17.1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46288</v>
      </c>
      <c r="F222" t="inlineStr">
        <is>
          <t>ÖSTERGÖTLANDS LÄN</t>
        </is>
      </c>
      <c r="G222" t="inlineStr">
        <is>
          <t>MOTALA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45460</v>
      </c>
      <c r="E223" s="1" t="n">
        <v>46288</v>
      </c>
      <c r="F223" t="inlineStr">
        <is>
          <t>ÖSTERGÖTLANDS LÄN</t>
        </is>
      </c>
      <c r="G223" t="inlineStr">
        <is>
          <t>MOTALA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46160</v>
      </c>
      <c r="E224" s="1" t="n">
        <v>46288</v>
      </c>
      <c r="F224" t="inlineStr">
        <is>
          <t>ÖSTERGÖTLANDS LÄN</t>
        </is>
      </c>
      <c r="G224" t="inlineStr">
        <is>
          <t>MOTALA</t>
        </is>
      </c>
      <c r="H224" t="inlineStr">
        <is>
          <t>Holmen skog AB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46160</v>
      </c>
      <c r="E225" s="1" t="n">
        <v>46288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46288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46160</v>
      </c>
      <c r="E227" s="1" t="n">
        <v>46288</v>
      </c>
      <c r="F227" t="inlineStr">
        <is>
          <t>ÖSTERGÖTLANDS LÄN</t>
        </is>
      </c>
      <c r="G227" t="inlineStr">
        <is>
          <t>MOTALA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46288</v>
      </c>
      <c r="F228" t="inlineStr">
        <is>
          <t>ÖSTERGÖTLANDS LÄN</t>
        </is>
      </c>
      <c r="G228" t="inlineStr">
        <is>
          <t>MOTALA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54171-2025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46288</v>
      </c>
      <c r="F229" t="inlineStr">
        <is>
          <t>ÖSTERGÖTLANDS LÄN</t>
        </is>
      </c>
      <c r="G229" t="inlineStr">
        <is>
          <t>MOTALA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46288</v>
      </c>
      <c r="F230" t="inlineStr">
        <is>
          <t>ÖSTERGÖTLANDS LÄN</t>
        </is>
      </c>
      <c r="G230" t="inlineStr">
        <is>
          <t>MOTALA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46288</v>
      </c>
      <c r="F231" t="inlineStr">
        <is>
          <t>ÖSTERGÖTLANDS LÄN</t>
        </is>
      </c>
      <c r="G231" t="inlineStr">
        <is>
          <t>MOTALA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53820-2024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46288</v>
      </c>
      <c r="F232" t="inlineStr">
        <is>
          <t>ÖSTERGÖTLANDS LÄN</t>
        </is>
      </c>
      <c r="G232" t="inlineStr">
        <is>
          <t>MOTALA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45092</v>
      </c>
      <c r="E233" s="1" t="n">
        <v>46288</v>
      </c>
      <c r="F233" t="inlineStr">
        <is>
          <t>ÖSTERGÖTLANDS LÄN</t>
        </is>
      </c>
      <c r="G233" t="inlineStr">
        <is>
          <t>MOTALA</t>
        </is>
      </c>
      <c r="H233" t="inlineStr">
        <is>
          <t>Övriga statliga verk och myndigheter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57710-2023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46288</v>
      </c>
      <c r="F234" t="inlineStr">
        <is>
          <t>ÖSTERGÖTLANDS LÄN</t>
        </is>
      </c>
      <c r="G234" t="inlineStr">
        <is>
          <t>MOTALA</t>
        </is>
      </c>
      <c r="H234" t="inlineStr">
        <is>
          <t>Övriga statliga verk och myndigheter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45484</v>
      </c>
      <c r="E235" s="1" t="n">
        <v>46288</v>
      </c>
      <c r="F235" t="inlineStr">
        <is>
          <t>ÖSTERGÖTLANDS LÄN</t>
        </is>
      </c>
      <c r="G235" t="inlineStr">
        <is>
          <t>MOTALA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71205-2021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46288</v>
      </c>
      <c r="F236" t="inlineStr">
        <is>
          <t>ÖSTERGÖTLANDS LÄN</t>
        </is>
      </c>
      <c r="G236" t="inlineStr">
        <is>
          <t>MOTALA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23839-2026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46288</v>
      </c>
      <c r="F237" t="inlineStr">
        <is>
          <t>ÖSTERGÖTLANDS LÄN</t>
        </is>
      </c>
      <c r="G237" t="inlineStr">
        <is>
          <t>MOTALA</t>
        </is>
      </c>
      <c r="H237" t="inlineStr">
        <is>
          <t>Holmen skog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28686-2022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46288</v>
      </c>
      <c r="F238" t="inlineStr">
        <is>
          <t>ÖSTERGÖTLANDS LÄN</t>
        </is>
      </c>
      <c r="G238" t="inlineStr">
        <is>
          <t>MOTALA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44942</v>
      </c>
      <c r="E239" s="1" t="n">
        <v>46288</v>
      </c>
      <c r="F239" t="inlineStr">
        <is>
          <t>ÖSTERGÖTLANDS LÄN</t>
        </is>
      </c>
      <c r="G239" t="inlineStr">
        <is>
          <t>MOTALA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45425</v>
      </c>
      <c r="E240" s="1" t="n">
        <v>46288</v>
      </c>
      <c r="F240" t="inlineStr">
        <is>
          <t>ÖSTERGÖTLANDS LÄN</t>
        </is>
      </c>
      <c r="G240" t="inlineStr">
        <is>
          <t>MOTALA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24247-2022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44725</v>
      </c>
      <c r="E241" s="1" t="n">
        <v>46288</v>
      </c>
      <c r="F241" t="inlineStr">
        <is>
          <t>ÖSTERGÖTLANDS LÄN</t>
        </is>
      </c>
      <c r="G241" t="inlineStr">
        <is>
          <t>MOTALA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51092-2024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46288</v>
      </c>
      <c r="F242" t="inlineStr">
        <is>
          <t>ÖSTERGÖTLANDS LÄN</t>
        </is>
      </c>
      <c r="G242" t="inlineStr">
        <is>
          <t>MOTALA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45427</v>
      </c>
      <c r="E243" s="1" t="n">
        <v>46288</v>
      </c>
      <c r="F243" t="inlineStr">
        <is>
          <t>ÖSTERGÖTLANDS LÄN</t>
        </is>
      </c>
      <c r="G243" t="inlineStr">
        <is>
          <t>MOTALA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46288</v>
      </c>
      <c r="F244" t="inlineStr">
        <is>
          <t>ÖSTERGÖTLANDS LÄN</t>
        </is>
      </c>
      <c r="G244" t="inlineStr">
        <is>
          <t>MOTALA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46288</v>
      </c>
      <c r="F245" t="inlineStr">
        <is>
          <t>ÖSTERGÖTLANDS LÄN</t>
        </is>
      </c>
      <c r="G245" t="inlineStr">
        <is>
          <t>MOTALA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56325-2024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45624</v>
      </c>
      <c r="E246" s="1" t="n">
        <v>46288</v>
      </c>
      <c r="F246" t="inlineStr">
        <is>
          <t>ÖSTERGÖTLANDS LÄN</t>
        </is>
      </c>
      <c r="G246" t="inlineStr">
        <is>
          <t>MOTALA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46288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24831-2026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46288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24830-2026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46288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46288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65566-2021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46288</v>
      </c>
      <c r="F251" t="inlineStr">
        <is>
          <t>ÖSTERGÖTLANDS LÄN</t>
        </is>
      </c>
      <c r="G251" t="inlineStr">
        <is>
          <t>MOTALA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46288</v>
      </c>
      <c r="F252" t="inlineStr">
        <is>
          <t>ÖSTERGÖTLANDS LÄN</t>
        </is>
      </c>
      <c r="G252" t="inlineStr">
        <is>
          <t>MOTALA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45998</v>
      </c>
      <c r="E253" s="1" t="n">
        <v>46288</v>
      </c>
      <c r="F253" t="inlineStr">
        <is>
          <t>ÖSTERGÖTLANDS LÄN</t>
        </is>
      </c>
      <c r="G253" t="inlineStr">
        <is>
          <t>MOTALA</t>
        </is>
      </c>
      <c r="I253" t="n">
        <v>15.9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46288</v>
      </c>
      <c r="F254" t="inlineStr">
        <is>
          <t>ÖSTERGÖTLANDS LÄN</t>
        </is>
      </c>
      <c r="G254" t="inlineStr">
        <is>
          <t>MOTALA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45205</v>
      </c>
      <c r="E255" s="1" t="n">
        <v>46288</v>
      </c>
      <c r="F255" t="inlineStr">
        <is>
          <t>ÖSTERGÖTLANDS LÄN</t>
        </is>
      </c>
      <c r="G255" t="inlineStr">
        <is>
          <t>MOTALA</t>
        </is>
      </c>
      <c r="H255" t="inlineStr">
        <is>
          <t>Övriga statliga verk och myndigheter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17008-2022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44676</v>
      </c>
      <c r="E256" s="1" t="n">
        <v>46288</v>
      </c>
      <c r="F256" t="inlineStr">
        <is>
          <t>ÖSTERGÖTLANDS LÄN</t>
        </is>
      </c>
      <c r="G256" t="inlineStr">
        <is>
          <t>MOTALA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44613</v>
      </c>
      <c r="E257" s="1" t="n">
        <v>46288</v>
      </c>
      <c r="F257" t="inlineStr">
        <is>
          <t>ÖSTERGÖTLANDS LÄN</t>
        </is>
      </c>
      <c r="G257" t="inlineStr">
        <is>
          <t>MOTALA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45294</v>
      </c>
      <c r="E258" s="1" t="n">
        <v>46288</v>
      </c>
      <c r="F258" t="inlineStr">
        <is>
          <t>ÖSTERGÖTLANDS LÄN</t>
        </is>
      </c>
      <c r="G258" t="inlineStr">
        <is>
          <t>MOTALA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38878-2023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46288</v>
      </c>
      <c r="F259" t="inlineStr">
        <is>
          <t>ÖSTERGÖTLANDS LÄN</t>
        </is>
      </c>
      <c r="G259" t="inlineStr">
        <is>
          <t>MOTALA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45029</v>
      </c>
      <c r="E260" s="1" t="n">
        <v>46288</v>
      </c>
      <c r="F260" t="inlineStr">
        <is>
          <t>ÖSTERGÖTLANDS LÄN</t>
        </is>
      </c>
      <c r="G260" t="inlineStr">
        <is>
          <t>MOTALA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46288</v>
      </c>
      <c r="F261" t="inlineStr">
        <is>
          <t>ÖSTERGÖTLANDS LÄN</t>
        </is>
      </c>
      <c r="G261" t="inlineStr">
        <is>
          <t>MOTALA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46288</v>
      </c>
      <c r="F262" t="inlineStr">
        <is>
          <t>ÖSTERGÖTLANDS LÄN</t>
        </is>
      </c>
      <c r="G262" t="inlineStr">
        <is>
          <t>MOTALA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45589</v>
      </c>
      <c r="E263" s="1" t="n">
        <v>46288</v>
      </c>
      <c r="F263" t="inlineStr">
        <is>
          <t>ÖSTERGÖTLANDS LÄN</t>
        </is>
      </c>
      <c r="G263" t="inlineStr">
        <is>
          <t>MOTALA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46288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46288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45266</v>
      </c>
      <c r="E266" s="1" t="n">
        <v>46288</v>
      </c>
      <c r="F266" t="inlineStr">
        <is>
          <t>ÖSTERGÖTLANDS LÄN</t>
        </is>
      </c>
      <c r="G266" t="inlineStr">
        <is>
          <t>MOTALA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46288</v>
      </c>
      <c r="F267" t="inlineStr">
        <is>
          <t>ÖSTERGÖTLANDS LÄN</t>
        </is>
      </c>
      <c r="G267" t="inlineStr">
        <is>
          <t>MOTALA</t>
        </is>
      </c>
      <c r="H267" t="inlineStr">
        <is>
          <t>Allmännings- och besparingsskogar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46288</v>
      </c>
      <c r="F268" t="inlineStr">
        <is>
          <t>ÖSTERGÖTLANDS LÄN</t>
        </is>
      </c>
      <c r="G268" t="inlineStr">
        <is>
          <t>MOTALA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23757-2025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45793</v>
      </c>
      <c r="E269" s="1" t="n">
        <v>46288</v>
      </c>
      <c r="F269" t="inlineStr">
        <is>
          <t>ÖSTERGÖTLANDS LÄN</t>
        </is>
      </c>
      <c r="G269" t="inlineStr">
        <is>
          <t>MOTALA</t>
        </is>
      </c>
      <c r="H269" t="inlineStr">
        <is>
          <t>Allmännings- och besparingsskogar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46190</v>
      </c>
      <c r="E270" s="1" t="n">
        <v>46288</v>
      </c>
      <c r="F270" t="inlineStr">
        <is>
          <t>ÖSTERGÖTLANDS LÄN</t>
        </is>
      </c>
      <c r="G270" t="inlineStr">
        <is>
          <t>MOTALA</t>
        </is>
      </c>
      <c r="H270" t="inlineStr">
        <is>
          <t>Allmännings- och besparingsskogar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27735-2026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46288</v>
      </c>
      <c r="F271" t="inlineStr">
        <is>
          <t>ÖSTERGÖTLANDS LÄN</t>
        </is>
      </c>
      <c r="G271" t="inlineStr">
        <is>
          <t>MOTALA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46288</v>
      </c>
      <c r="F272" t="inlineStr">
        <is>
          <t>ÖSTERGÖTLANDS LÄN</t>
        </is>
      </c>
      <c r="G272" t="inlineStr">
        <is>
          <t>MOTALA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46288</v>
      </c>
      <c r="F273" t="inlineStr">
        <is>
          <t>ÖSTERGÖTLANDS LÄN</t>
        </is>
      </c>
      <c r="G273" t="inlineStr">
        <is>
          <t>MOTALA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53454-2024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45614</v>
      </c>
      <c r="E274" s="1" t="n">
        <v>46288</v>
      </c>
      <c r="F274" t="inlineStr">
        <is>
          <t>ÖSTERGÖTLANDS LÄN</t>
        </is>
      </c>
      <c r="G274" t="inlineStr">
        <is>
          <t>MOTALA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46288</v>
      </c>
      <c r="F275" t="inlineStr">
        <is>
          <t>ÖSTERGÖTLANDS LÄN</t>
        </is>
      </c>
      <c r="G275" t="inlineStr">
        <is>
          <t>MOTALA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45266</v>
      </c>
      <c r="E276" s="1" t="n">
        <v>46288</v>
      </c>
      <c r="F276" t="inlineStr">
        <is>
          <t>ÖSTERGÖTLANDS LÄN</t>
        </is>
      </c>
      <c r="G276" t="inlineStr">
        <is>
          <t>MOTALA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46288</v>
      </c>
      <c r="F277" t="inlineStr">
        <is>
          <t>ÖSTERGÖTLANDS LÄN</t>
        </is>
      </c>
      <c r="G277" t="inlineStr">
        <is>
          <t>MOTALA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45266</v>
      </c>
      <c r="E278" s="1" t="n">
        <v>46288</v>
      </c>
      <c r="F278" t="inlineStr">
        <is>
          <t>ÖSTERGÖTLANDS LÄN</t>
        </is>
      </c>
      <c r="G278" t="inlineStr">
        <is>
          <t>MOTALA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52302-2023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45224</v>
      </c>
      <c r="E279" s="1" t="n">
        <v>46288</v>
      </c>
      <c r="F279" t="inlineStr">
        <is>
          <t>ÖSTERGÖTLANDS LÄN</t>
        </is>
      </c>
      <c r="G279" t="inlineStr">
        <is>
          <t>MOTALA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46288</v>
      </c>
      <c r="F280" t="inlineStr">
        <is>
          <t>ÖSTERGÖTLANDS LÄN</t>
        </is>
      </c>
      <c r="G280" t="inlineStr">
        <is>
          <t>MOTALA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19234-2024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45428</v>
      </c>
      <c r="E281" s="1" t="n">
        <v>46288</v>
      </c>
      <c r="F281" t="inlineStr">
        <is>
          <t>ÖSTERGÖTLANDS LÄN</t>
        </is>
      </c>
      <c r="G281" t="inlineStr">
        <is>
          <t>MOTALA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46288</v>
      </c>
      <c r="F282" t="inlineStr">
        <is>
          <t>ÖSTERGÖTLANDS LÄN</t>
        </is>
      </c>
      <c r="G282" t="inlineStr">
        <is>
          <t>MOTALA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46288</v>
      </c>
      <c r="F283" t="inlineStr">
        <is>
          <t>ÖSTERGÖTLANDS LÄN</t>
        </is>
      </c>
      <c r="G283" t="inlineStr">
        <is>
          <t>MOTALA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47510-2022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44853</v>
      </c>
      <c r="E284" s="1" t="n">
        <v>46288</v>
      </c>
      <c r="F284" t="inlineStr">
        <is>
          <t>ÖSTERGÖTLANDS LÄN</t>
        </is>
      </c>
      <c r="G284" t="inlineStr">
        <is>
          <t>MOTALA</t>
        </is>
      </c>
      <c r="H284" t="inlineStr">
        <is>
          <t>Övriga statliga verk och myndigheter</t>
        </is>
      </c>
      <c r="I284" t="n">
        <v>11.3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46288</v>
      </c>
      <c r="F285" t="inlineStr">
        <is>
          <t>ÖSTERGÖTLANDS LÄN</t>
        </is>
      </c>
      <c r="G285" t="inlineStr">
        <is>
          <t>MOTALA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46288</v>
      </c>
      <c r="F286" t="inlineStr">
        <is>
          <t>ÖSTERGÖTLANDS LÄN</t>
        </is>
      </c>
      <c r="G286" t="inlineStr">
        <is>
          <t>MOTALA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64175-2023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45279</v>
      </c>
      <c r="E287" s="1" t="n">
        <v>46288</v>
      </c>
      <c r="F287" t="inlineStr">
        <is>
          <t>ÖSTERGÖTLANDS LÄN</t>
        </is>
      </c>
      <c r="G287" t="inlineStr">
        <is>
          <t>MOTALA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46288</v>
      </c>
      <c r="F288" t="inlineStr">
        <is>
          <t>ÖSTERGÖTLANDS LÄN</t>
        </is>
      </c>
      <c r="G288" t="inlineStr">
        <is>
          <t>MOTALA</t>
        </is>
      </c>
      <c r="H288" t="inlineStr">
        <is>
          <t>Allmännings- och besparingsskogar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46061</v>
      </c>
      <c r="E289" s="1" t="n">
        <v>46288</v>
      </c>
      <c r="F289" t="inlineStr">
        <is>
          <t>ÖSTERGÖTLANDS LÄN</t>
        </is>
      </c>
      <c r="G289" t="inlineStr">
        <is>
          <t>MOTALA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46288</v>
      </c>
      <c r="F290" t="inlineStr">
        <is>
          <t>ÖSTERGÖTLANDS LÄN</t>
        </is>
      </c>
      <c r="G290" t="inlineStr">
        <is>
          <t>MOTALA</t>
        </is>
      </c>
      <c r="H290" t="inlineStr">
        <is>
          <t>Allmännings- och besparingsskogar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46288</v>
      </c>
      <c r="F291" t="inlineStr">
        <is>
          <t>ÖSTERGÖTLANDS LÄN</t>
        </is>
      </c>
      <c r="G291" t="inlineStr">
        <is>
          <t>MOTALA</t>
        </is>
      </c>
      <c r="H291" t="inlineStr">
        <is>
          <t>Allmännings- och besparingsskogar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46198</v>
      </c>
      <c r="E292" s="1" t="n">
        <v>46288</v>
      </c>
      <c r="F292" t="inlineStr">
        <is>
          <t>ÖSTERGÖTLANDS LÄN</t>
        </is>
      </c>
      <c r="G292" t="inlineStr">
        <is>
          <t>MOTALA</t>
        </is>
      </c>
      <c r="H292" t="inlineStr">
        <is>
          <t>Allmännings- och besparingsskogar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8153-2026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46064</v>
      </c>
      <c r="E293" s="1" t="n">
        <v>46288</v>
      </c>
      <c r="F293" t="inlineStr">
        <is>
          <t>ÖSTERGÖTLANDS LÄN</t>
        </is>
      </c>
      <c r="G293" t="inlineStr">
        <is>
          <t>MOTALA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46288</v>
      </c>
      <c r="F294" t="inlineStr">
        <is>
          <t>ÖSTERGÖTLANDS LÄN</t>
        </is>
      </c>
      <c r="G294" t="inlineStr">
        <is>
          <t>MOTALA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8138-2026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46288</v>
      </c>
      <c r="F295" t="inlineStr">
        <is>
          <t>ÖSTERGÖTLANDS LÄN</t>
        </is>
      </c>
      <c r="G295" t="inlineStr">
        <is>
          <t>MOTALA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46288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46288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46288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46288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46288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46288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46288</v>
      </c>
      <c r="F302" t="inlineStr">
        <is>
          <t>ÖSTERGÖTLANDS LÄN</t>
        </is>
      </c>
      <c r="G302" t="inlineStr">
        <is>
          <t>MOTALA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46288</v>
      </c>
      <c r="F303" t="inlineStr">
        <is>
          <t>ÖSTERGÖTLANDS LÄN</t>
        </is>
      </c>
      <c r="G303" t="inlineStr">
        <is>
          <t>MOTALA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46288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44819</v>
      </c>
      <c r="E305" s="1" t="n">
        <v>46288</v>
      </c>
      <c r="F305" t="inlineStr">
        <is>
          <t>ÖSTERGÖTLANDS LÄN</t>
        </is>
      </c>
      <c r="G305" t="inlineStr">
        <is>
          <t>MOTALA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46288</v>
      </c>
      <c r="F306" t="inlineStr">
        <is>
          <t>ÖSTERGÖTLANDS LÄN</t>
        </is>
      </c>
      <c r="G306" t="inlineStr">
        <is>
          <t>MOTALA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10510-2026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46077</v>
      </c>
      <c r="E307" s="1" t="n">
        <v>46288</v>
      </c>
      <c r="F307" t="inlineStr">
        <is>
          <t>ÖSTERGÖTLANDS LÄN</t>
        </is>
      </c>
      <c r="G307" t="inlineStr">
        <is>
          <t>MOTALA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46080</v>
      </c>
      <c r="E308" s="1" t="n">
        <v>46288</v>
      </c>
      <c r="F308" t="inlineStr">
        <is>
          <t>ÖSTERGÖTLANDS LÄN</t>
        </is>
      </c>
      <c r="G308" t="inlineStr">
        <is>
          <t>MOTALA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46080</v>
      </c>
      <c r="E309" s="1" t="n">
        <v>46288</v>
      </c>
      <c r="F309" t="inlineStr">
        <is>
          <t>ÖSTERGÖTLANDS LÄN</t>
        </is>
      </c>
      <c r="G309" t="inlineStr">
        <is>
          <t>MOTALA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46288</v>
      </c>
      <c r="F310" t="inlineStr">
        <is>
          <t>ÖSTERGÖTLANDS LÄN</t>
        </is>
      </c>
      <c r="G310" t="inlineStr">
        <is>
          <t>MOTALA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44298-2023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46288</v>
      </c>
      <c r="F311" t="inlineStr">
        <is>
          <t>ÖSTERGÖTLANDS LÄN</t>
        </is>
      </c>
      <c r="G311" t="inlineStr">
        <is>
          <t>MOTALA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29128-2026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46288</v>
      </c>
      <c r="F312" t="inlineStr">
        <is>
          <t>ÖSTERGÖTLANDS LÄN</t>
        </is>
      </c>
      <c r="G312" t="inlineStr">
        <is>
          <t>MOTALA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46288</v>
      </c>
      <c r="F313" t="inlineStr">
        <is>
          <t>ÖSTERGÖTLANDS LÄN</t>
        </is>
      </c>
      <c r="G313" t="inlineStr">
        <is>
          <t>MOTALA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46288</v>
      </c>
      <c r="F314" t="inlineStr">
        <is>
          <t>ÖSTERGÖTLANDS LÄN</t>
        </is>
      </c>
      <c r="G314" t="inlineStr">
        <is>
          <t>MOTALA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62556-2021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44503</v>
      </c>
      <c r="E315" s="1" t="n">
        <v>46288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17148-2023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45034</v>
      </c>
      <c r="E316" s="1" t="n">
        <v>46288</v>
      </c>
      <c r="F316" t="inlineStr">
        <is>
          <t>ÖSTERGÖTLANDS LÄN</t>
        </is>
      </c>
      <c r="G316" t="inlineStr">
        <is>
          <t>MOTALA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46288</v>
      </c>
      <c r="F317" t="inlineStr">
        <is>
          <t>ÖSTERGÖTLANDS LÄN</t>
        </is>
      </c>
      <c r="G317" t="inlineStr">
        <is>
          <t>MOTALA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46288</v>
      </c>
      <c r="F318" t="inlineStr">
        <is>
          <t>ÖSTERGÖTLANDS LÄN</t>
        </is>
      </c>
      <c r="G318" t="inlineStr">
        <is>
          <t>MOTALA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46288</v>
      </c>
      <c r="F319" t="inlineStr">
        <is>
          <t>ÖSTERGÖTLANDS LÄN</t>
        </is>
      </c>
      <c r="G319" t="inlineStr">
        <is>
          <t>MOTALA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41944-2022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44830</v>
      </c>
      <c r="E320" s="1" t="n">
        <v>46288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46288</v>
      </c>
      <c r="F321" t="inlineStr">
        <is>
          <t>ÖSTERGÖTLANDS LÄN</t>
        </is>
      </c>
      <c r="G321" t="inlineStr">
        <is>
          <t>MOTALA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12968-2026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46092</v>
      </c>
      <c r="E322" s="1" t="n">
        <v>46288</v>
      </c>
      <c r="F322" t="inlineStr">
        <is>
          <t>ÖSTERGÖTLANDS LÄN</t>
        </is>
      </c>
      <c r="G322" t="inlineStr">
        <is>
          <t>MOTALA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46288</v>
      </c>
      <c r="F323" t="inlineStr">
        <is>
          <t>ÖSTERGÖTLANDS LÄN</t>
        </is>
      </c>
      <c r="G323" t="inlineStr">
        <is>
          <t>MOTALA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46288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13304-2026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46288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8781-2026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46288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46288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13300-2026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46288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29736-2026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46204</v>
      </c>
      <c r="E329" s="1" t="n">
        <v>46288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21527-2023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45061</v>
      </c>
      <c r="E330" s="1" t="n">
        <v>46288</v>
      </c>
      <c r="F330" t="inlineStr">
        <is>
          <t>ÖSTERGÖTLANDS LÄN</t>
        </is>
      </c>
      <c r="G330" t="inlineStr">
        <is>
          <t>MOTALA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46288</v>
      </c>
      <c r="F331" t="inlineStr">
        <is>
          <t>ÖSTERGÖTLANDS LÄN</t>
        </is>
      </c>
      <c r="G331" t="inlineStr">
        <is>
          <t>MOTALA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14568-2026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46100</v>
      </c>
      <c r="E332" s="1" t="n">
        <v>46288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12.9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15551-2026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46106</v>
      </c>
      <c r="E333" s="1" t="n">
        <v>46288</v>
      </c>
      <c r="F333" t="inlineStr">
        <is>
          <t>ÖSTERGÖTLANDS LÄN</t>
        </is>
      </c>
      <c r="G333" t="inlineStr">
        <is>
          <t>MOTALA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46105</v>
      </c>
      <c r="E334" s="1" t="n">
        <v>46288</v>
      </c>
      <c r="F334" t="inlineStr">
        <is>
          <t>ÖSTERGÖTLANDS LÄN</t>
        </is>
      </c>
      <c r="G334" t="inlineStr">
        <is>
          <t>MOTALA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46288</v>
      </c>
      <c r="F335" t="inlineStr">
        <is>
          <t>ÖSTERGÖTLANDS LÄN</t>
        </is>
      </c>
      <c r="G335" t="inlineStr">
        <is>
          <t>MOTALA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43368-2023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46288</v>
      </c>
      <c r="F336" t="inlineStr">
        <is>
          <t>ÖSTERGÖTLANDS LÄN</t>
        </is>
      </c>
      <c r="G336" t="inlineStr">
        <is>
          <t>MOTALA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34761-2024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46288</v>
      </c>
      <c r="F337" t="inlineStr">
        <is>
          <t>ÖSTERGÖTLANDS LÄN</t>
        </is>
      </c>
      <c r="G337" t="inlineStr">
        <is>
          <t>MOTALA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45351</v>
      </c>
      <c r="E338" s="1" t="n">
        <v>46288</v>
      </c>
      <c r="F338" t="inlineStr">
        <is>
          <t>ÖSTERGÖTLANDS LÄN</t>
        </is>
      </c>
      <c r="G338" t="inlineStr">
        <is>
          <t>MOTALA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45473</v>
      </c>
      <c r="E339" s="1" t="n">
        <v>46288</v>
      </c>
      <c r="F339" t="inlineStr">
        <is>
          <t>ÖSTERGÖTLANDS LÄN</t>
        </is>
      </c>
      <c r="G339" t="inlineStr">
        <is>
          <t>MOTALA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46288</v>
      </c>
      <c r="F340" t="inlineStr">
        <is>
          <t>ÖSTERGÖTLANDS LÄN</t>
        </is>
      </c>
      <c r="G340" t="inlineStr">
        <is>
          <t>MOTALA</t>
        </is>
      </c>
      <c r="H340" t="inlineStr">
        <is>
          <t>Övriga statliga verk och myndigheter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45043</v>
      </c>
      <c r="E341" s="1" t="n">
        <v>46288</v>
      </c>
      <c r="F341" t="inlineStr">
        <is>
          <t>ÖSTERGÖTLANDS LÄN</t>
        </is>
      </c>
      <c r="G341" t="inlineStr">
        <is>
          <t>MOTALA</t>
        </is>
      </c>
      <c r="H341" t="inlineStr">
        <is>
          <t>Övriga statliga verk och myndigheter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46288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46288</v>
      </c>
      <c r="F343" t="inlineStr">
        <is>
          <t>ÖSTERGÖTLANDS LÄN</t>
        </is>
      </c>
      <c r="G343" t="inlineStr">
        <is>
          <t>MOTALA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45427</v>
      </c>
      <c r="E344" s="1" t="n">
        <v>46288</v>
      </c>
      <c r="F344" t="inlineStr">
        <is>
          <t>ÖSTERGÖTLANDS LÄN</t>
        </is>
      </c>
      <c r="G344" t="inlineStr">
        <is>
          <t>MOTALA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45440</v>
      </c>
      <c r="E345" s="1" t="n">
        <v>46288</v>
      </c>
      <c r="F345" t="inlineStr">
        <is>
          <t>ÖSTERGÖTLANDS LÄN</t>
        </is>
      </c>
      <c r="G345" t="inlineStr">
        <is>
          <t>MOTALA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44637</v>
      </c>
      <c r="E346" s="1" t="n">
        <v>46288</v>
      </c>
      <c r="F346" t="inlineStr">
        <is>
          <t>ÖSTERGÖTLANDS LÄN</t>
        </is>
      </c>
      <c r="G346" t="inlineStr">
        <is>
          <t>MOTALA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44998</v>
      </c>
      <c r="E347" s="1" t="n">
        <v>46288</v>
      </c>
      <c r="F347" t="inlineStr">
        <is>
          <t>ÖSTERGÖTLANDS LÄN</t>
        </is>
      </c>
      <c r="G347" t="inlineStr">
        <is>
          <t>MOTALA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46288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11.6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45685</v>
      </c>
      <c r="E349" s="1" t="n">
        <v>46288</v>
      </c>
      <c r="F349" t="inlineStr">
        <is>
          <t>ÖSTERGÖTLANDS LÄN</t>
        </is>
      </c>
      <c r="G349" t="inlineStr">
        <is>
          <t>MOTALA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46288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7925-2022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44608</v>
      </c>
      <c r="E351" s="1" t="n">
        <v>46288</v>
      </c>
      <c r="F351" t="inlineStr">
        <is>
          <t>ÖSTERGÖTLANDS LÄN</t>
        </is>
      </c>
      <c r="G351" t="inlineStr">
        <is>
          <t>MOTALA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7927-2022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44608</v>
      </c>
      <c r="E352" s="1" t="n">
        <v>46288</v>
      </c>
      <c r="F352" t="inlineStr">
        <is>
          <t>ÖSTERGÖTLANDS LÄN</t>
        </is>
      </c>
      <c r="G352" t="inlineStr">
        <is>
          <t>MOTALA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30115-2026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46288</v>
      </c>
      <c r="F353" t="inlineStr">
        <is>
          <t>ÖSTERGÖTLANDS LÄN</t>
        </is>
      </c>
      <c r="G353" t="inlineStr">
        <is>
          <t>MOTALA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45378</v>
      </c>
      <c r="E354" s="1" t="n">
        <v>46288</v>
      </c>
      <c r="F354" t="inlineStr">
        <is>
          <t>ÖSTERGÖTLANDS LÄN</t>
        </is>
      </c>
      <c r="G354" t="inlineStr">
        <is>
          <t>MOTALA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24254-2022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44725</v>
      </c>
      <c r="E355" s="1" t="n">
        <v>46288</v>
      </c>
      <c r="F355" t="inlineStr">
        <is>
          <t>ÖSTERGÖTLANDS LÄN</t>
        </is>
      </c>
      <c r="G355" t="inlineStr">
        <is>
          <t>MOTALA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44987</v>
      </c>
      <c r="E356" s="1" t="n">
        <v>46288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12156-2024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45377</v>
      </c>
      <c r="E357" s="1" t="n">
        <v>46288</v>
      </c>
      <c r="F357" t="inlineStr">
        <is>
          <t>ÖSTERGÖTLANDS LÄN</t>
        </is>
      </c>
      <c r="G357" t="inlineStr">
        <is>
          <t>MOTALA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51762-2024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46288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46255</v>
      </c>
      <c r="E359" s="1" t="n">
        <v>46288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45377</v>
      </c>
      <c r="E360" s="1" t="n">
        <v>46288</v>
      </c>
      <c r="F360" t="inlineStr">
        <is>
          <t>ÖSTERGÖTLANDS LÄN</t>
        </is>
      </c>
      <c r="G360" t="inlineStr">
        <is>
          <t>MOTALA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46255</v>
      </c>
      <c r="E361" s="1" t="n">
        <v>46288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46255</v>
      </c>
      <c r="E362" s="1" t="n">
        <v>46288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34557-2026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46255</v>
      </c>
      <c r="E363" s="1" t="n">
        <v>46288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27418-2022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44742</v>
      </c>
      <c r="E364" s="1" t="n">
        <v>46288</v>
      </c>
      <c r="F364" t="inlineStr">
        <is>
          <t>ÖSTERGÖTLANDS LÄN</t>
        </is>
      </c>
      <c r="G364" t="inlineStr">
        <is>
          <t>MOTALA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45243</v>
      </c>
      <c r="E365" s="1" t="n">
        <v>46288</v>
      </c>
      <c r="F365" t="inlineStr">
        <is>
          <t>ÖSTERGÖTLANDS LÄN</t>
        </is>
      </c>
      <c r="G365" t="inlineStr">
        <is>
          <t>MOTALA</t>
        </is>
      </c>
      <c r="H365" t="inlineStr">
        <is>
          <t>Övriga statliga verk och myndigheter</t>
        </is>
      </c>
      <c r="I365" t="n">
        <v>25.1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57697-2023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45243</v>
      </c>
      <c r="E366" s="1" t="n">
        <v>46288</v>
      </c>
      <c r="F366" t="inlineStr">
        <is>
          <t>ÖSTERGÖTLANDS LÄN</t>
        </is>
      </c>
      <c r="G366" t="inlineStr">
        <is>
          <t>MOTALA</t>
        </is>
      </c>
      <c r="H366" t="inlineStr">
        <is>
          <t>Övriga statliga verk och myndigheter</t>
        </is>
      </c>
      <c r="I366" t="n">
        <v>24.8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63150-2023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45273</v>
      </c>
      <c r="E367" s="1" t="n">
        <v>46288</v>
      </c>
      <c r="F367" t="inlineStr">
        <is>
          <t>ÖSTERGÖTLANDS LÄN</t>
        </is>
      </c>
      <c r="G367" t="inlineStr">
        <is>
          <t>MOTALA</t>
        </is>
      </c>
      <c r="H367" t="inlineStr">
        <is>
          <t>Kyrkan</t>
        </is>
      </c>
      <c r="I367" t="n">
        <v>8.4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46218</v>
      </c>
      <c r="E368" s="1" t="n">
        <v>46288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31296-2026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46218</v>
      </c>
      <c r="E369" s="1" t="n">
        <v>46288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44804</v>
      </c>
      <c r="E370" s="1" t="n">
        <v>46288</v>
      </c>
      <c r="F370" t="inlineStr">
        <is>
          <t>ÖSTERGÖTLANDS LÄN</t>
        </is>
      </c>
      <c r="G370" t="inlineStr">
        <is>
          <t>MOTALA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31297-2026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46218</v>
      </c>
      <c r="E371" s="1" t="n">
        <v>46288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46259</v>
      </c>
      <c r="E372" s="1" t="n">
        <v>46288</v>
      </c>
      <c r="F372" t="inlineStr">
        <is>
          <t>ÖSTERGÖTLANDS LÄN</t>
        </is>
      </c>
      <c r="G372" t="inlineStr">
        <is>
          <t>MOTALA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45237</v>
      </c>
      <c r="E373" s="1" t="n">
        <v>46288</v>
      </c>
      <c r="F373" t="inlineStr">
        <is>
          <t>ÖSTERGÖTLANDS LÄN</t>
        </is>
      </c>
      <c r="G373" t="inlineStr">
        <is>
          <t>MOTALA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65561-2021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44516</v>
      </c>
      <c r="E374" s="1" t="n">
        <v>46288</v>
      </c>
      <c r="F374" t="inlineStr">
        <is>
          <t>ÖSTERGÖTLANDS LÄN</t>
        </is>
      </c>
      <c r="G374" t="inlineStr">
        <is>
          <t>MOTALA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44782</v>
      </c>
      <c r="E375" s="1" t="n">
        <v>46288</v>
      </c>
      <c r="F375" t="inlineStr">
        <is>
          <t>ÖSTERGÖTLANDS LÄN</t>
        </is>
      </c>
      <c r="G375" t="inlineStr">
        <is>
          <t>MOTALA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44573</v>
      </c>
      <c r="E376" s="1" t="n">
        <v>46288</v>
      </c>
      <c r="F376" t="inlineStr">
        <is>
          <t>ÖSTERGÖTLANDS LÄN</t>
        </is>
      </c>
      <c r="G376" t="inlineStr">
        <is>
          <t>MOTALA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12434-2023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44999</v>
      </c>
      <c r="E377" s="1" t="n">
        <v>46288</v>
      </c>
      <c r="F377" t="inlineStr">
        <is>
          <t>ÖSTERGÖTLANDS LÄN</t>
        </is>
      </c>
      <c r="G377" t="inlineStr">
        <is>
          <t>MOTALA</t>
        </is>
      </c>
      <c r="H377" t="inlineStr">
        <is>
          <t>Allmännings- och besparingsskogar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46288</v>
      </c>
      <c r="F378" t="inlineStr">
        <is>
          <t>ÖSTERGÖTLANDS LÄN</t>
        </is>
      </c>
      <c r="G378" t="inlineStr">
        <is>
          <t>MOTALA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44894</v>
      </c>
      <c r="E379" s="1" t="n">
        <v>46288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46273</v>
      </c>
      <c r="E380" s="1" t="n">
        <v>46288</v>
      </c>
      <c r="F380" t="inlineStr">
        <is>
          <t>ÖSTERGÖTLANDS LÄN</t>
        </is>
      </c>
      <c r="G380" t="inlineStr">
        <is>
          <t>MOTALA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27965-2024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45476</v>
      </c>
      <c r="E381" s="1" t="n">
        <v>46288</v>
      </c>
      <c r="F381" t="inlineStr">
        <is>
          <t>ÖSTERGÖTLANDS LÄN</t>
        </is>
      </c>
      <c r="G381" t="inlineStr">
        <is>
          <t>MOTALA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58344-2022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44893</v>
      </c>
      <c r="E382" s="1" t="n">
        <v>46288</v>
      </c>
      <c r="F382" t="inlineStr">
        <is>
          <t>ÖSTERGÖTLANDS LÄN</t>
        </is>
      </c>
      <c r="G382" t="inlineStr">
        <is>
          <t>MOTALA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16586-2023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45030</v>
      </c>
      <c r="E383" s="1" t="n">
        <v>46288</v>
      </c>
      <c r="F383" t="inlineStr">
        <is>
          <t>ÖSTERGÖTLANDS LÄN</t>
        </is>
      </c>
      <c r="G383" t="inlineStr">
        <is>
          <t>MOTALA</t>
        </is>
      </c>
      <c r="H383" t="inlineStr">
        <is>
          <t>Kyrkan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12643-2022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44641</v>
      </c>
      <c r="E384" s="1" t="n">
        <v>46288</v>
      </c>
      <c r="F384" t="inlineStr">
        <is>
          <t>ÖSTERGÖTLANDS LÄN</t>
        </is>
      </c>
      <c r="G384" t="inlineStr">
        <is>
          <t>MOTALA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60029-2021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44494</v>
      </c>
      <c r="E385" s="1" t="n">
        <v>46288</v>
      </c>
      <c r="F385" t="inlineStr">
        <is>
          <t>ÖSTERGÖTLANDS LÄN</t>
        </is>
      </c>
      <c r="G385" t="inlineStr">
        <is>
          <t>MOTALA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46288</v>
      </c>
      <c r="F386" t="inlineStr">
        <is>
          <t>ÖSTERGÖTLANDS LÄN</t>
        </is>
      </c>
      <c r="G386" t="inlineStr">
        <is>
          <t>MOTALA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62065-2023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46288</v>
      </c>
      <c r="F387" t="inlineStr">
        <is>
          <t>ÖSTERGÖTLANDS LÄN</t>
        </is>
      </c>
      <c r="G387" t="inlineStr">
        <is>
          <t>MOTALA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17543-2022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44679</v>
      </c>
      <c r="E388" s="1" t="n">
        <v>46288</v>
      </c>
      <c r="F388" t="inlineStr">
        <is>
          <t>ÖSTERGÖTLANDS LÄN</t>
        </is>
      </c>
      <c r="G388" t="inlineStr">
        <is>
          <t>MOTALA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38241-2026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46281</v>
      </c>
      <c r="E389" s="1" t="n">
        <v>46288</v>
      </c>
      <c r="F389" t="inlineStr">
        <is>
          <t>ÖSTERGÖTLANDS LÄN</t>
        </is>
      </c>
      <c r="G389" t="inlineStr">
        <is>
          <t>MOTALA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31744-2022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44776</v>
      </c>
      <c r="E390" s="1" t="n">
        <v>46288</v>
      </c>
      <c r="F390" t="inlineStr">
        <is>
          <t>ÖSTERGÖTLANDS LÄN</t>
        </is>
      </c>
      <c r="G390" t="inlineStr">
        <is>
          <t>MOTALA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45229</v>
      </c>
      <c r="E391" s="1" t="n">
        <v>46288</v>
      </c>
      <c r="F391" t="inlineStr">
        <is>
          <t>ÖSTERGÖTLANDS LÄN</t>
        </is>
      </c>
      <c r="G391" t="inlineStr">
        <is>
          <t>MOTALA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46281</v>
      </c>
      <c r="E392" s="1" t="n">
        <v>46288</v>
      </c>
      <c r="F392" t="inlineStr">
        <is>
          <t>ÖSTERGÖTLANDS LÄN</t>
        </is>
      </c>
      <c r="G392" t="inlineStr">
        <is>
          <t>MOTALA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46288</v>
      </c>
      <c r="F393" t="inlineStr">
        <is>
          <t>ÖSTERGÖTLANDS LÄN</t>
        </is>
      </c>
      <c r="G393" t="inlineStr">
        <is>
          <t>MOTALA</t>
        </is>
      </c>
      <c r="H393" t="inlineStr">
        <is>
          <t>Allmännings- och besparingsskogar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51638-2023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46288</v>
      </c>
      <c r="F394" t="inlineStr">
        <is>
          <t>ÖSTERGÖTLANDS LÄN</t>
        </is>
      </c>
      <c r="G394" t="inlineStr">
        <is>
          <t>MOTALA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24252-2022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44725</v>
      </c>
      <c r="E395" s="1" t="n">
        <v>46288</v>
      </c>
      <c r="F395" t="inlineStr">
        <is>
          <t>ÖSTERGÖTLANDS LÄN</t>
        </is>
      </c>
      <c r="G395" t="inlineStr">
        <is>
          <t>MOTALA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46288</v>
      </c>
      <c r="F396" t="inlineStr">
        <is>
          <t>ÖSTERGÖTLANDS LÄN</t>
        </is>
      </c>
      <c r="G396" t="inlineStr">
        <is>
          <t>MOTALA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46288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32985-2026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46243</v>
      </c>
      <c r="E398" s="1" t="n">
        <v>46288</v>
      </c>
      <c r="F398" t="inlineStr">
        <is>
          <t>ÖSTERGÖTLANDS LÄN</t>
        </is>
      </c>
      <c r="G398" t="inlineStr">
        <is>
          <t>MOTALA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41937-2022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44830</v>
      </c>
      <c r="E399" s="1" t="n">
        <v>46288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41898-2022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44830</v>
      </c>
      <c r="E400" s="1" t="n">
        <v>46288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4873-2024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46288</v>
      </c>
      <c r="F401" t="inlineStr">
        <is>
          <t>ÖSTERGÖTLANDS LÄN</t>
        </is>
      </c>
      <c r="G401" t="inlineStr">
        <is>
          <t>MOTALA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44931</v>
      </c>
      <c r="E402" s="1" t="n">
        <v>46288</v>
      </c>
      <c r="F402" t="inlineStr">
        <is>
          <t>ÖSTERGÖTLANDS LÄN</t>
        </is>
      </c>
      <c r="G402" t="inlineStr">
        <is>
          <t>MOTALA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45343</v>
      </c>
      <c r="E403" s="1" t="n">
        <v>46288</v>
      </c>
      <c r="F403" t="inlineStr">
        <is>
          <t>ÖSTERGÖTLANDS LÄN</t>
        </is>
      </c>
      <c r="G403" t="inlineStr">
        <is>
          <t>MOTALA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45091</v>
      </c>
      <c r="E404" s="1" t="n">
        <v>46288</v>
      </c>
      <c r="F404" t="inlineStr">
        <is>
          <t>ÖSTERGÖTLANDS LÄN</t>
        </is>
      </c>
      <c r="G404" t="inlineStr">
        <is>
          <t>MOTALA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59570-2022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44907</v>
      </c>
      <c r="E405" s="1" t="n">
        <v>46288</v>
      </c>
      <c r="F405" t="inlineStr">
        <is>
          <t>ÖSTERGÖTLANDS LÄN</t>
        </is>
      </c>
      <c r="G405" t="inlineStr">
        <is>
          <t>MOTALA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53781-2024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45615</v>
      </c>
      <c r="E406" s="1" t="n">
        <v>46288</v>
      </c>
      <c r="F406" t="inlineStr">
        <is>
          <t>ÖSTERGÖTLANDS LÄN</t>
        </is>
      </c>
      <c r="G406" t="inlineStr">
        <is>
          <t>MOTALA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21309-2025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45781</v>
      </c>
      <c r="E407" s="1" t="n">
        <v>46288</v>
      </c>
      <c r="F407" t="inlineStr">
        <is>
          <t>ÖSTERGÖTLANDS LÄN</t>
        </is>
      </c>
      <c r="G407" t="inlineStr">
        <is>
          <t>MOTALA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45708</v>
      </c>
      <c r="E408" s="1" t="n">
        <v>46288</v>
      </c>
      <c r="F408" t="inlineStr">
        <is>
          <t>ÖSTERGÖTLANDS LÄN</t>
        </is>
      </c>
      <c r="G408" t="inlineStr">
        <is>
          <t>MOTALA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46288</v>
      </c>
      <c r="F409" t="inlineStr">
        <is>
          <t>ÖSTERGÖTLANDS LÄN</t>
        </is>
      </c>
      <c r="G409" t="inlineStr">
        <is>
          <t>MOTALA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44903</v>
      </c>
      <c r="E410" s="1" t="n">
        <v>46288</v>
      </c>
      <c r="F410" t="inlineStr">
        <is>
          <t>ÖSTERGÖTLANDS LÄN</t>
        </is>
      </c>
      <c r="G410" t="inlineStr">
        <is>
          <t>MOTALA</t>
        </is>
      </c>
      <c r="H410" t="inlineStr">
        <is>
          <t>Allmännings- och besparingsskogar</t>
        </is>
      </c>
      <c r="I410" t="n">
        <v>37.7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45469</v>
      </c>
      <c r="E411" s="1" t="n">
        <v>46288</v>
      </c>
      <c r="F411" t="inlineStr">
        <is>
          <t>ÖSTERGÖTLANDS LÄN</t>
        </is>
      </c>
      <c r="G411" t="inlineStr">
        <is>
          <t>MOTALA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45589</v>
      </c>
      <c r="E412" s="1" t="n">
        <v>46288</v>
      </c>
      <c r="F412" t="inlineStr">
        <is>
          <t>ÖSTERGÖTLANDS LÄN</t>
        </is>
      </c>
      <c r="G412" t="inlineStr">
        <is>
          <t>MOTALA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51728-2024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45604</v>
      </c>
      <c r="E413" s="1" t="n">
        <v>46288</v>
      </c>
      <c r="F413" t="inlineStr">
        <is>
          <t>ÖSTERGÖTLANDS LÄN</t>
        </is>
      </c>
      <c r="G413" t="inlineStr">
        <is>
          <t>MOTALA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45222</v>
      </c>
      <c r="E414" s="1" t="n">
        <v>46288</v>
      </c>
      <c r="F414" t="inlineStr">
        <is>
          <t>ÖSTERGÖTLANDS LÄN</t>
        </is>
      </c>
      <c r="G414" t="inlineStr">
        <is>
          <t>MOTALA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45666</v>
      </c>
      <c r="E415" s="1" t="n">
        <v>46288</v>
      </c>
      <c r="F415" t="inlineStr">
        <is>
          <t>ÖSTERGÖTLANDS LÄN</t>
        </is>
      </c>
      <c r="G415" t="inlineStr">
        <is>
          <t>MOTALA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38881-2024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45547</v>
      </c>
      <c r="E416" s="1" t="n">
        <v>46288</v>
      </c>
      <c r="F416" t="inlineStr">
        <is>
          <t>ÖSTERGÖTLANDS LÄN</t>
        </is>
      </c>
      <c r="G416" t="inlineStr">
        <is>
          <t>MOTALA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46288</v>
      </c>
      <c r="F417" t="inlineStr">
        <is>
          <t>ÖSTERGÖTLANDS LÄN</t>
        </is>
      </c>
      <c r="G417" t="inlineStr">
        <is>
          <t>MOTALA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60669-2024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46288</v>
      </c>
      <c r="F418" t="inlineStr">
        <is>
          <t>ÖSTERGÖTLANDS LÄN</t>
        </is>
      </c>
      <c r="G418" t="inlineStr">
        <is>
          <t>MOTALA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57681-2024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45630</v>
      </c>
      <c r="E419" s="1" t="n">
        <v>46288</v>
      </c>
      <c r="F419" t="inlineStr">
        <is>
          <t>ÖSTERGÖTLANDS LÄN</t>
        </is>
      </c>
      <c r="G419" t="inlineStr">
        <is>
          <t>MOTALA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45689</v>
      </c>
      <c r="E420" s="1" t="n">
        <v>46288</v>
      </c>
      <c r="F420" t="inlineStr">
        <is>
          <t>ÖSTERGÖTLANDS LÄN</t>
        </is>
      </c>
      <c r="G420" t="inlineStr">
        <is>
          <t>MOTALA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46288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45803</v>
      </c>
      <c r="E422" s="1" t="n">
        <v>46288</v>
      </c>
      <c r="F422" t="inlineStr">
        <is>
          <t>ÖSTERGÖTLANDS LÄN</t>
        </is>
      </c>
      <c r="G422" t="inlineStr">
        <is>
          <t>MOTALA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46288</v>
      </c>
      <c r="F423" t="inlineStr">
        <is>
          <t>ÖSTERGÖTLANDS LÄN</t>
        </is>
      </c>
      <c r="G423" t="inlineStr">
        <is>
          <t>MOTALA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44901</v>
      </c>
      <c r="E424" s="1" t="n">
        <v>46288</v>
      </c>
      <c r="F424" t="inlineStr">
        <is>
          <t>ÖSTERGÖTLANDS LÄN</t>
        </is>
      </c>
      <c r="G424" t="inlineStr">
        <is>
          <t>MOTALA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46288</v>
      </c>
      <c r="F425" t="inlineStr">
        <is>
          <t>ÖSTERGÖTLANDS LÄN</t>
        </is>
      </c>
      <c r="G425" t="inlineStr">
        <is>
          <t>MOTALA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32756-2025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45839</v>
      </c>
      <c r="E426" s="1" t="n">
        <v>46288</v>
      </c>
      <c r="F426" t="inlineStr">
        <is>
          <t>ÖSTERGÖTLANDS LÄN</t>
        </is>
      </c>
      <c r="G426" t="inlineStr">
        <is>
          <t>MOTALA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27896-2025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45817</v>
      </c>
      <c r="E427" s="1" t="n">
        <v>46288</v>
      </c>
      <c r="F427" t="inlineStr">
        <is>
          <t>ÖSTERGÖTLANDS LÄN</t>
        </is>
      </c>
      <c r="G427" t="inlineStr">
        <is>
          <t>MOTALA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46288</v>
      </c>
      <c r="F428" t="inlineStr">
        <is>
          <t>ÖSTERGÖTLANDS LÄN</t>
        </is>
      </c>
      <c r="G428" t="inlineStr">
        <is>
          <t>MOTALA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45575</v>
      </c>
      <c r="E429" s="1" t="n">
        <v>46288</v>
      </c>
      <c r="F429" t="inlineStr">
        <is>
          <t>ÖSTERGÖTLANDS LÄN</t>
        </is>
      </c>
      <c r="G429" t="inlineStr">
        <is>
          <t>MOTALA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46288</v>
      </c>
      <c r="F430" t="inlineStr">
        <is>
          <t>ÖSTERGÖTLANDS LÄN</t>
        </is>
      </c>
      <c r="G430" t="inlineStr">
        <is>
          <t>MOTALA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46288</v>
      </c>
      <c r="F431" t="inlineStr">
        <is>
          <t>ÖSTERGÖTLANDS LÄN</t>
        </is>
      </c>
      <c r="G431" t="inlineStr">
        <is>
          <t>MOTALA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45798</v>
      </c>
      <c r="E432" s="1" t="n">
        <v>46288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46288</v>
      </c>
      <c r="F433" t="inlineStr">
        <is>
          <t>ÖSTERGÖTLANDS LÄN</t>
        </is>
      </c>
      <c r="G433" t="inlineStr">
        <is>
          <t>MOTALA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3262-2024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45526</v>
      </c>
      <c r="E434" s="1" t="n">
        <v>46288</v>
      </c>
      <c r="F434" t="inlineStr">
        <is>
          <t>ÖSTERGÖTLANDS LÄN</t>
        </is>
      </c>
      <c r="G434" t="inlineStr">
        <is>
          <t>MOTALA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3481-2023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45205</v>
      </c>
      <c r="E435" s="1" t="n">
        <v>46288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2511-2024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45474</v>
      </c>
      <c r="E436" s="1" t="n">
        <v>46288</v>
      </c>
      <c r="F436" t="inlineStr">
        <is>
          <t>ÖSTERGÖTLANDS LÄN</t>
        </is>
      </c>
      <c r="G436" t="inlineStr">
        <is>
          <t>MOTALA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2535-2024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46288</v>
      </c>
      <c r="F437" t="inlineStr">
        <is>
          <t>ÖSTERGÖTLANDS LÄN</t>
        </is>
      </c>
      <c r="G437" t="inlineStr">
        <is>
          <t>MOTALA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1264-2025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45763</v>
      </c>
      <c r="E438" s="1" t="n">
        <v>46288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1475-2025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45786</v>
      </c>
      <c r="E439" s="1" t="n">
        <v>46288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1584-2025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45796</v>
      </c>
      <c r="E440" s="1" t="n">
        <v>46288</v>
      </c>
      <c r="F440" t="inlineStr">
        <is>
          <t>ÖSTERGÖTLANDS LÄN</t>
        </is>
      </c>
      <c r="G440" t="inlineStr">
        <is>
          <t>MOTALA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421-2026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46071</v>
      </c>
      <c r="E441" s="1" t="n">
        <v>46288</v>
      </c>
      <c r="F441" t="inlineStr">
        <is>
          <t>ÖSTERGÖTLANDS LÄN</t>
        </is>
      </c>
      <c r="G441" t="inlineStr">
        <is>
          <t>MOTALA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523-2026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46077</v>
      </c>
      <c r="E442" s="1" t="n">
        <v>46288</v>
      </c>
      <c r="F442" t="inlineStr">
        <is>
          <t>ÖSTERGÖTLANDS LÄN</t>
        </is>
      </c>
      <c r="G442" t="inlineStr">
        <is>
          <t>MOTALA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>
      <c r="A443" t="inlineStr">
        <is>
          <t>S 820-2026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46104</v>
      </c>
      <c r="E443" s="1" t="n">
        <v>46288</v>
      </c>
      <c r="F443" t="inlineStr">
        <is>
          <t>ÖSTERGÖTLANDS LÄN</t>
        </is>
      </c>
      <c r="G443" t="inlineStr">
        <is>
          <t>MOTALA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2026-09-23T01:56:03Z</dcterms:created>
  <dcterms:modified xmlns:dcterms="http://purl.org/dc/terms/" xmlns:xsi="http://www.w3.org/2001/XMLSchema-instance" xsi:type="dcterms:W3CDTF">2026-09-23T01:56:04Z</dcterms:modified>
</cp:coreProperties>
</file>