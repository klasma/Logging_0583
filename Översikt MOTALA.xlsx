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45696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45696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45696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45696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25600-2022</t>
        </is>
      </c>
      <c r="B6" s="1" t="n">
        <v>44732</v>
      </c>
      <c r="C6" s="1" t="n">
        <v>45696</v>
      </c>
      <c r="D6" t="inlineStr">
        <is>
          <t>ÖSTERGÖTLANDS LÄN</t>
        </is>
      </c>
      <c r="E6" t="inlineStr">
        <is>
          <t>MOTALA</t>
        </is>
      </c>
      <c r="F6" t="inlineStr">
        <is>
          <t>Övriga statliga verk och myndigheter</t>
        </is>
      </c>
      <c r="G6" t="n">
        <v>14.3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Havsörn
Spillkråka
Talltita
Gröngöling
Hökuggla
Kungsfågel</t>
        </is>
      </c>
      <c r="S6">
        <f>HYPERLINK("https://klasma.github.io/Logging_0583/artfynd/A 25600-2022 artfynd.xlsx", "A 25600-2022")</f>
        <v/>
      </c>
      <c r="T6">
        <f>HYPERLINK("https://klasma.github.io/Logging_0583/kartor/A 25600-2022 karta.png", "A 25600-2022")</f>
        <v/>
      </c>
      <c r="V6">
        <f>HYPERLINK("https://klasma.github.io/Logging_0583/klagomål/A 25600-2022 FSC-klagomål.docx", "A 25600-2022")</f>
        <v/>
      </c>
      <c r="W6">
        <f>HYPERLINK("https://klasma.github.io/Logging_0583/klagomålsmail/A 25600-2022 FSC-klagomål mail.docx", "A 25600-2022")</f>
        <v/>
      </c>
      <c r="X6">
        <f>HYPERLINK("https://klasma.github.io/Logging_0583/tillsyn/A 25600-2022 tillsynsbegäran.docx", "A 25600-2022")</f>
        <v/>
      </c>
      <c r="Y6">
        <f>HYPERLINK("https://klasma.github.io/Logging_0583/tillsynsmail/A 25600-2022 tillsynsbegäran mail.docx", "A 25600-2022")</f>
        <v/>
      </c>
      <c r="Z6">
        <f>HYPERLINK("https://klasma.github.io/Logging_0583/fåglar/A 25600-2022 prioriterade fågelarter.docx", "A 25600-2022")</f>
        <v/>
      </c>
    </row>
    <row r="7" ht="15" customHeight="1">
      <c r="A7" t="inlineStr">
        <is>
          <t>A 30637-2022</t>
        </is>
      </c>
      <c r="B7" s="1" t="n">
        <v>44763</v>
      </c>
      <c r="C7" s="1" t="n">
        <v>45696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5.1</v>
      </c>
      <c r="H7" t="n">
        <v>2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Scharlakansvaxskivling
Ullticka
Blodvaxskivling
Skuggmossa
Blåsippa</t>
        </is>
      </c>
      <c r="S7">
        <f>HYPERLINK("https://klasma.github.io/Logging_0583/artfynd/A 30637-2022 artfynd.xlsx", "A 30637-2022")</f>
        <v/>
      </c>
      <c r="T7">
        <f>HYPERLINK("https://klasma.github.io/Logging_0583/kartor/A 30637-2022 karta.png", "A 30637-2022")</f>
        <v/>
      </c>
      <c r="U7">
        <f>HYPERLINK("https://klasma.github.io/Logging_0583/knärot/A 30637-2022 karta knärot.png", "A 30637-2022")</f>
        <v/>
      </c>
      <c r="V7">
        <f>HYPERLINK("https://klasma.github.io/Logging_0583/klagomål/A 30637-2022 FSC-klagomål.docx", "A 30637-2022")</f>
        <v/>
      </c>
      <c r="W7">
        <f>HYPERLINK("https://klasma.github.io/Logging_0583/klagomålsmail/A 30637-2022 FSC-klagomål mail.docx", "A 30637-2022")</f>
        <v/>
      </c>
      <c r="X7">
        <f>HYPERLINK("https://klasma.github.io/Logging_0583/tillsyn/A 30637-2022 tillsynsbegäran.docx", "A 30637-2022")</f>
        <v/>
      </c>
      <c r="Y7">
        <f>HYPERLINK("https://klasma.github.io/Logging_0583/tillsynsmail/A 30637-2022 tillsynsbegäran mail.docx", "A 30637-2022")</f>
        <v/>
      </c>
    </row>
    <row r="8" ht="15" customHeight="1">
      <c r="A8" t="inlineStr">
        <is>
          <t>A 49705-2024</t>
        </is>
      </c>
      <c r="B8" s="1" t="n">
        <v>45596</v>
      </c>
      <c r="C8" s="1" t="n">
        <v>45696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7.2</v>
      </c>
      <c r="H8" t="n">
        <v>0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Bronshjon
Flagellkvastmossa
Granbarkgnagare
Grovticka</t>
        </is>
      </c>
      <c r="S8">
        <f>HYPERLINK("https://klasma.github.io/Logging_0583/artfynd/A 49705-2024 artfynd.xlsx", "A 49705-2024")</f>
        <v/>
      </c>
      <c r="T8">
        <f>HYPERLINK("https://klasma.github.io/Logging_0583/kartor/A 49705-2024 karta.png", "A 49705-2024")</f>
        <v/>
      </c>
      <c r="V8">
        <f>HYPERLINK("https://klasma.github.io/Logging_0583/klagomål/A 49705-2024 FSC-klagomål.docx", "A 49705-2024")</f>
        <v/>
      </c>
      <c r="W8">
        <f>HYPERLINK("https://klasma.github.io/Logging_0583/klagomålsmail/A 49705-2024 FSC-klagomål mail.docx", "A 49705-2024")</f>
        <v/>
      </c>
      <c r="X8">
        <f>HYPERLINK("https://klasma.github.io/Logging_0583/tillsyn/A 49705-2024 tillsynsbegäran.docx", "A 49705-2024")</f>
        <v/>
      </c>
      <c r="Y8">
        <f>HYPERLINK("https://klasma.github.io/Logging_0583/tillsynsmail/A 49705-2024 tillsynsbegäran mail.docx", "A 49705-2024")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45696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45696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45696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45696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45696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45696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45696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45696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45696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45696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45696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45696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45696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45696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45696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45696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45696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45696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45696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45696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45696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45696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45696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45696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45696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45696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45696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45696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45696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45696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45696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45696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45696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45696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45696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45696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45696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45696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45696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45696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45696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45696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45696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45696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45696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45696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45696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45696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45696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45696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45696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45696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45696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45696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45696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45696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45696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45696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45696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45696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45696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45696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45696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45696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45696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45696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45696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45696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45696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45696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45696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45696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45696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45696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45696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45696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45696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45696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45696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45696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45696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45696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45696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45696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45696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45696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45696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45696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45696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45696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45696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45696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45696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45696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45696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45696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45696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45696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45696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45696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45696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45696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45696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45696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45696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45696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45696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45696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45696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45696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45696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45696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45696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45696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45696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45696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45696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45696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45696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45696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45696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45696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45696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45696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45696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45696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45696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45696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45696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45696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45696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45696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45696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45696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45696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45696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45696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45696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45696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45696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45696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45696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45696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45696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45696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45696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45696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45696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45696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45696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45696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45696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45696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45696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45696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45696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45696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45696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45696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45696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45696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45696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45696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45696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45696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45696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45696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45696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45696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45696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45696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45696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45696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45696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45696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45696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45696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45696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45696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45696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45696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45696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45696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45696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45696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45696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45696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45696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45696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45696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45696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45696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45696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45696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45696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45696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45696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45696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45696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45696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45696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45696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45696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45696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45696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45696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45696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45696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45696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45696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45696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45696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45696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45696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45696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45696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45696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45696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45696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45696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45696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45696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45696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45696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45696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45696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45696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45696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45696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45696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45696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45696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45696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45696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45696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45696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45696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45696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45696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45696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45696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45696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45696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45696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45696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45696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45696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45696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45696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45696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45696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45696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45696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45696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45696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45696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45696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45696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45696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45696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45696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45696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45696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45696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45696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45696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45696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45696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45696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45696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45696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45696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45696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45696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45696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45696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45696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45696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45696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45696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45696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45696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45696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45696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45696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45696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45696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45696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45696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45696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45696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45696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45696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45696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45696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45696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45696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45696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45696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45696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45696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45696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45696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45696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45696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45696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45696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45696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45696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45696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45696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45696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45696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45696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45696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45696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45696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45696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45696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45696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45696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45696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45696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45696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45696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45696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45696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45696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45696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45696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45696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45696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45696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45696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45696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45696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45696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45696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45696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45696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45696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45696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45696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45696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45696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45696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45696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45696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45696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45696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45696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45696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45696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45696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45696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45696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45696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45696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45696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45696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45696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45696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45696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45696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45696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45696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45696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45696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45696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45696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45696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45696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45696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45696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45696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45696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45696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45696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45696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45696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45696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45696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45696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45696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45696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45696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45696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45696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45696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45696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45696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45696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45696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45696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45696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45696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45696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45696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45696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45696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45696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45696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45696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45696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45696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45696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45696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45696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45696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45696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45696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45696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45696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45696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45696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45696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45696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45696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45696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45696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45696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45696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45696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45696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45696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45696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45696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45696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45696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45696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45696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45696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45696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45696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45696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45696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45696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45696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45696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45696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45696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45696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45696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45696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45696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45696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45696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45696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45696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45696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45696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45696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45696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45696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45696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45696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45696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45696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45696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45696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45696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45696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45696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45696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45696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45696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45696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45696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45696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45696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45696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45696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45696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45696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45696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45696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45696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45696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45696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45696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45696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45696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45696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45696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45696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45696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45696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45696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45696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45696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45696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45696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45696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45696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45696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45696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45696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45696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45696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45696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45696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45696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45696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45696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45696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45696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45696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45696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45696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45696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45696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45696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45696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45696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45696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45696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45696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45696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45696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45696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45696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45696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45696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45696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45696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45696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45696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45696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45696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45696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45696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45696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45696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45696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45696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45696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45696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45696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45696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45696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45696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45696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45696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45696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45696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45696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45696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45696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45696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45696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45696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45696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45696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45696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45696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45696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45696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45696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45696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45696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45696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45696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45696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45696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45696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45696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45696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45696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45696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45696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45696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45696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45696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45696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45696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45696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45696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45696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45696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45696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45696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45696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45696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45696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45696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45696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45696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45696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45696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45696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45696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45696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45696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45696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45696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45696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45696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45696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45696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45696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45696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45696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45696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45696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45696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45696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45696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45696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45696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45696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45696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45696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45696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45696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45696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45696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45696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45696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45696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45696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45696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45696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45696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45696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45696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45696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45696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45696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45696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45696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45696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45696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45696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45696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45696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45696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45696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45696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45696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45696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45696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45696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45696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45696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45696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45696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45696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45696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45696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45696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45696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45696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45696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45696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45696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45696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45696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45696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45696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45696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45696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45696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45696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45696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45696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45696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45696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45696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45696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45696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45696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45696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45696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45696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45696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45696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45696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45696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45696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45696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45696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45696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45696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45696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45696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45696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45696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45696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45696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45696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45696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45696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45696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45696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45696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45696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45696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45696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45696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45696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45696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45696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45696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45696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45696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45696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45696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45696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45696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45696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45696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45696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45696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45696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45696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45696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45696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45696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45696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45696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45696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45696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45696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45696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45696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45696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45696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45696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45696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45696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45696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45696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45696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45696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45696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45696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45696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45696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45696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45696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45696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45696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45696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45696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45696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45696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45696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45696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45696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45696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45696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45696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45696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45696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45696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45696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45696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45696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45696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45696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45696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45696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45696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45696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45696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45696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45696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45696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45696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45696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45696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45696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45696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45696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45696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45696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45696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45696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45696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45696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45696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45696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45696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45696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45696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45696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45696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45696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45696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45696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45696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45696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45696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45696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45696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45696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45696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45696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45696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45696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45696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45696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45696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45696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45696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45696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45696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45696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45696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45696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45696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45696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45696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45696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45696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45696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45696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45696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45696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45696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45696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45696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45696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45696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45696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45696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45696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45696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45696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45696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45696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45696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45696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45696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45696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45696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45696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45696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45696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45696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45696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45696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45696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45696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45696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45696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45696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45696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45696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45696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45696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45696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45696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45696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45696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45696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45696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45696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45696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45696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45696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45696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45696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45696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45696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45696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45696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45696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45696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45696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45696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45696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45696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45696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45696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45696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45696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45696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45696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45696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45696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45696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45696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45696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45696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45696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45696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45696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45696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45696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45696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45696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45696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45696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45696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45696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45696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45696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45696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45696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45696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45696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45696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45696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45696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45696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45696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45696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45696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45696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45696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45696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45696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45696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45696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45696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45696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45696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45696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45696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45696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45696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45696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45696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45696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45696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45696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45696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45696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45696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45696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45696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45696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45696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45696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45696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45696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45696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45696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45696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45696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45696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45696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45696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45696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45696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45696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45696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45696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45696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45696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45696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45696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45696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45696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45696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45696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45696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45696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45696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45696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45696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45696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45696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45696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45696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45696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45696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45696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45696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45696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45696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45696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45696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45696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4979-2025</t>
        </is>
      </c>
      <c r="B984" s="1" t="n">
        <v>45689</v>
      </c>
      <c r="C984" s="1" t="n">
        <v>45696</v>
      </c>
      <c r="D984" t="inlineStr">
        <is>
          <t>ÖSTERGÖTLANDS LÄN</t>
        </is>
      </c>
      <c r="E984" t="inlineStr">
        <is>
          <t>MOTALA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4981-2025</t>
        </is>
      </c>
      <c r="B985" s="1" t="n">
        <v>45689</v>
      </c>
      <c r="C985" s="1" t="n">
        <v>45696</v>
      </c>
      <c r="D985" t="inlineStr">
        <is>
          <t>ÖSTERGÖTLANDS LÄN</t>
        </is>
      </c>
      <c r="E985" t="inlineStr">
        <is>
          <t>MOTALA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5325-2025</t>
        </is>
      </c>
      <c r="B986" s="1" t="n">
        <v>45692</v>
      </c>
      <c r="C986" s="1" t="n">
        <v>45696</v>
      </c>
      <c r="D986" t="inlineStr">
        <is>
          <t>ÖSTERGÖTLANDS LÄN</t>
        </is>
      </c>
      <c r="E986" t="inlineStr">
        <is>
          <t>MOTALA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5326-2025</t>
        </is>
      </c>
      <c r="B987" s="1" t="n">
        <v>45692</v>
      </c>
      <c r="C987" s="1" t="n">
        <v>45696</v>
      </c>
      <c r="D987" t="inlineStr">
        <is>
          <t>ÖSTERGÖTLANDS LÄN</t>
        </is>
      </c>
      <c r="E987" t="inlineStr">
        <is>
          <t>MOTALA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5614-2025</t>
        </is>
      </c>
      <c r="B988" s="1" t="n">
        <v>45693</v>
      </c>
      <c r="C988" s="1" t="n">
        <v>45696</v>
      </c>
      <c r="D988" t="inlineStr">
        <is>
          <t>ÖSTERGÖTLANDS LÄN</t>
        </is>
      </c>
      <c r="E988" t="inlineStr">
        <is>
          <t>MOTALA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5528-2025</t>
        </is>
      </c>
      <c r="B989" s="1" t="n">
        <v>45693</v>
      </c>
      <c r="C989" s="1" t="n">
        <v>45696</v>
      </c>
      <c r="D989" t="inlineStr">
        <is>
          <t>ÖSTERGÖTLANDS LÄN</t>
        </is>
      </c>
      <c r="E989" t="inlineStr">
        <is>
          <t>MOTALA</t>
        </is>
      </c>
      <c r="F989" t="inlineStr">
        <is>
          <t>Allmännings- och besparingsskogar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5609-2025</t>
        </is>
      </c>
      <c r="B990" s="1" t="n">
        <v>45693</v>
      </c>
      <c r="C990" s="1" t="n">
        <v>45696</v>
      </c>
      <c r="D990" t="inlineStr">
        <is>
          <t>ÖSTERGÖTLANDS LÄN</t>
        </is>
      </c>
      <c r="E990" t="inlineStr">
        <is>
          <t>MOTALA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5888-2025</t>
        </is>
      </c>
      <c r="B991" s="1" t="n">
        <v>45695</v>
      </c>
      <c r="C991" s="1" t="n">
        <v>45696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2025-02-08T17:07:46Z</dcterms:created>
  <dcterms:modified xmlns:dcterms="http://purl.org/dc/terms/" xmlns:xsi="http://www.w3.org/2001/XMLSchema-instance" xsi:type="dcterms:W3CDTF">2025-02-08T17:07:47Z</dcterms:modified>
</cp:coreProperties>
</file>