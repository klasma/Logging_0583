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45837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45837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45837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45837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45837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45837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45837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45837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45837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45837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65282-2019</t>
        </is>
      </c>
      <c r="B12" s="1" t="n">
        <v>43802</v>
      </c>
      <c r="C12" s="1" t="n">
        <v>45837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Grönsiska
Sparvuggla</t>
        </is>
      </c>
      <c r="S12">
        <f>HYPERLINK("https://klasma.github.io/Logging_0583/artfynd/A 65282-2019 artfynd.xlsx", "A 65282-2019")</f>
        <v/>
      </c>
      <c r="T12">
        <f>HYPERLINK("https://klasma.github.io/Logging_0583/kartor/A 65282-2019 karta.png", "A 65282-2019")</f>
        <v/>
      </c>
      <c r="V12">
        <f>HYPERLINK("https://klasma.github.io/Logging_0583/klagomål/A 65282-2019 FSC-klagomål.docx", "A 65282-2019")</f>
        <v/>
      </c>
      <c r="W12">
        <f>HYPERLINK("https://klasma.github.io/Logging_0583/klagomålsmail/A 65282-2019 FSC-klagomål mail.docx", "A 65282-2019")</f>
        <v/>
      </c>
      <c r="X12">
        <f>HYPERLINK("https://klasma.github.io/Logging_0583/tillsyn/A 65282-2019 tillsynsbegäran.docx", "A 65282-2019")</f>
        <v/>
      </c>
      <c r="Y12">
        <f>HYPERLINK("https://klasma.github.io/Logging_0583/tillsynsmail/A 65282-2019 tillsynsbegäran mail.docx", "A 65282-2019")</f>
        <v/>
      </c>
      <c r="Z12">
        <f>HYPERLINK("https://klasma.github.io/Logging_0583/fåglar/A 65282-2019 prioriterade fågelarter.docx", "A 65282-2019")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45837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Flagellkvastmossa
Kornknutmossa
Kungsfågel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  <c r="Z13">
        <f>HYPERLINK("https://klasma.github.io/Logging_0583/fåglar/A 3721-2023 prioriterade fågelarter.docx", "A 3721-2023")</f>
        <v/>
      </c>
    </row>
    <row r="14" ht="15" customHeight="1">
      <c r="A14" t="inlineStr">
        <is>
          <t>A 49690-2024</t>
        </is>
      </c>
      <c r="B14" s="1" t="n">
        <v>45596</v>
      </c>
      <c r="C14" s="1" t="n">
        <v>45837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11.4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Mindre märgborre
Revlummer</t>
        </is>
      </c>
      <c r="S14">
        <f>HYPERLINK("https://klasma.github.io/Logging_0583/artfynd/A 49690-2024 artfynd.xlsx", "A 49690-2024")</f>
        <v/>
      </c>
      <c r="T14">
        <f>HYPERLINK("https://klasma.github.io/Logging_0583/kartor/A 49690-2024 karta.png", "A 49690-2024")</f>
        <v/>
      </c>
      <c r="V14">
        <f>HYPERLINK("https://klasma.github.io/Logging_0583/klagomål/A 49690-2024 FSC-klagomål.docx", "A 49690-2024")</f>
        <v/>
      </c>
      <c r="W14">
        <f>HYPERLINK("https://klasma.github.io/Logging_0583/klagomålsmail/A 49690-2024 FSC-klagomål mail.docx", "A 49690-2024")</f>
        <v/>
      </c>
      <c r="X14">
        <f>HYPERLINK("https://klasma.github.io/Logging_0583/tillsyn/A 49690-2024 tillsynsbegäran.docx", "A 49690-2024")</f>
        <v/>
      </c>
      <c r="Y14">
        <f>HYPERLINK("https://klasma.github.io/Logging_0583/tillsynsmail/A 49690-2024 tillsynsbegäran mail.docx", "A 49690-2024")</f>
        <v/>
      </c>
    </row>
    <row r="15" ht="15" customHeight="1">
      <c r="A15" t="inlineStr">
        <is>
          <t>A 4512-2023</t>
        </is>
      </c>
      <c r="B15" s="1" t="n">
        <v>44956</v>
      </c>
      <c r="C15" s="1" t="n">
        <v>45837</v>
      </c>
      <c r="D15" t="inlineStr">
        <is>
          <t>ÖSTERGÖTLANDS LÄN</t>
        </is>
      </c>
      <c r="E15" t="inlineStr">
        <is>
          <t>MOTALA</t>
        </is>
      </c>
      <c r="F15" t="inlineStr">
        <is>
          <t>Kommuner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HYPERLINK("https://klasma.github.io/Logging_0583/artfynd/A 4512-2023 artfynd.xlsx", "A 4512-2023")</f>
        <v/>
      </c>
      <c r="T15">
        <f>HYPERLINK("https://klasma.github.io/Logging_0583/kartor/A 4512-2023 karta.png", "A 4512-2023")</f>
        <v/>
      </c>
      <c r="V15">
        <f>HYPERLINK("https://klasma.github.io/Logging_0583/klagomål/A 4512-2023 FSC-klagomål.docx", "A 4512-2023")</f>
        <v/>
      </c>
      <c r="W15">
        <f>HYPERLINK("https://klasma.github.io/Logging_0583/klagomålsmail/A 4512-2023 FSC-klagomål mail.docx", "A 4512-2023")</f>
        <v/>
      </c>
      <c r="X15">
        <f>HYPERLINK("https://klasma.github.io/Logging_0583/tillsyn/A 4512-2023 tillsynsbegäran.docx", "A 4512-2023")</f>
        <v/>
      </c>
      <c r="Y15">
        <f>HYPERLINK("https://klasma.github.io/Logging_0583/tillsynsmail/A 4512-2023 tillsynsbegäran mail.docx", "A 4512-2023")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45837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28075-2024</t>
        </is>
      </c>
      <c r="B17" s="1" t="n">
        <v>45476</v>
      </c>
      <c r="C17" s="1" t="n">
        <v>45837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Slåtterfibbla</t>
        </is>
      </c>
      <c r="S17">
        <f>HYPERLINK("https://klasma.github.io/Logging_0583/artfynd/A 28075-2024 artfynd.xlsx", "A 28075-2024")</f>
        <v/>
      </c>
      <c r="T17">
        <f>HYPERLINK("https://klasma.github.io/Logging_0583/kartor/A 28075-2024 karta.png", "A 28075-2024")</f>
        <v/>
      </c>
      <c r="V17">
        <f>HYPERLINK("https://klasma.github.io/Logging_0583/klagomål/A 28075-2024 FSC-klagomål.docx", "A 28075-2024")</f>
        <v/>
      </c>
      <c r="W17">
        <f>HYPERLINK("https://klasma.github.io/Logging_0583/klagomålsmail/A 28075-2024 FSC-klagomål mail.docx", "A 28075-2024")</f>
        <v/>
      </c>
      <c r="X17">
        <f>HYPERLINK("https://klasma.github.io/Logging_0583/tillsyn/A 28075-2024 tillsynsbegäran.docx", "A 28075-2024")</f>
        <v/>
      </c>
      <c r="Y17">
        <f>HYPERLINK("https://klasma.github.io/Logging_0583/tillsynsmail/A 28075-2024 tillsynsbegäran mail.docx", "A 28075-2024")</f>
        <v/>
      </c>
    </row>
    <row r="18" ht="15" customHeight="1">
      <c r="A18" t="inlineStr">
        <is>
          <t>A 49665-2024</t>
        </is>
      </c>
      <c r="B18" s="1" t="n">
        <v>45596</v>
      </c>
      <c r="C18" s="1" t="n">
        <v>45837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</v>
      </c>
      <c r="C19" s="1" t="n">
        <v>45837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1931-2025</t>
        </is>
      </c>
      <c r="B20" s="1" t="n">
        <v>45671</v>
      </c>
      <c r="C20" s="1" t="n">
        <v>45837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Nattviol</t>
        </is>
      </c>
      <c r="S20">
        <f>HYPERLINK("https://klasma.github.io/Logging_0583/artfynd/A 1931-2025 artfynd.xlsx", "A 1931-2025")</f>
        <v/>
      </c>
      <c r="T20">
        <f>HYPERLINK("https://klasma.github.io/Logging_0583/kartor/A 1931-2025 karta.png", "A 1931-2025")</f>
        <v/>
      </c>
      <c r="V20">
        <f>HYPERLINK("https://klasma.github.io/Logging_0583/klagomål/A 1931-2025 FSC-klagomål.docx", "A 1931-2025")</f>
        <v/>
      </c>
      <c r="W20">
        <f>HYPERLINK("https://klasma.github.io/Logging_0583/klagomålsmail/A 1931-2025 FSC-klagomål mail.docx", "A 1931-2025")</f>
        <v/>
      </c>
      <c r="X20">
        <f>HYPERLINK("https://klasma.github.io/Logging_0583/tillsyn/A 1931-2025 tillsynsbegäran.docx", "A 1931-2025")</f>
        <v/>
      </c>
      <c r="Y20">
        <f>HYPERLINK("https://klasma.github.io/Logging_0583/tillsynsmail/A 1931-2025 tillsynsbegäran mail.docx", "A 1931-2025")</f>
        <v/>
      </c>
    </row>
    <row r="21" ht="15" customHeight="1">
      <c r="A21" t="inlineStr">
        <is>
          <t>A 30060-2019</t>
        </is>
      </c>
      <c r="B21" s="1" t="n">
        <v>43633</v>
      </c>
      <c r="C21" s="1" t="n">
        <v>45837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30060-2019 artfynd.xlsx", "A 30060-2019")</f>
        <v/>
      </c>
      <c r="T21">
        <f>HYPERLINK("https://klasma.github.io/Logging_0583/kartor/A 30060-2019 karta.png", "A 30060-2019")</f>
        <v/>
      </c>
      <c r="V21">
        <f>HYPERLINK("https://klasma.github.io/Logging_0583/klagomål/A 30060-2019 FSC-klagomål.docx", "A 30060-2019")</f>
        <v/>
      </c>
      <c r="W21">
        <f>HYPERLINK("https://klasma.github.io/Logging_0583/klagomålsmail/A 30060-2019 FSC-klagomål mail.docx", "A 30060-2019")</f>
        <v/>
      </c>
      <c r="X21">
        <f>HYPERLINK("https://klasma.github.io/Logging_0583/tillsyn/A 30060-2019 tillsynsbegäran.docx", "A 30060-2019")</f>
        <v/>
      </c>
      <c r="Y21">
        <f>HYPERLINK("https://klasma.github.io/Logging_0583/tillsynsmail/A 30060-2019 tillsynsbegäran mail.docx", "A 30060-2019")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45837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45837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45837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45837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45837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45837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45837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45837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45837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45837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45837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45837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45837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45837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45837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45837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45837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45837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45837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45837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45837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45837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45837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45837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45837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45837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45837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45837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45837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45837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45837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45837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45837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45837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45837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45837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45837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45837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45837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45837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45837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45837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45837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45837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45837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45837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45837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45837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45837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45837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45837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45837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45837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45837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45837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45837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45837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45837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45837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45837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45837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45837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45837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45837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45837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45837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45837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45837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45837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45837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45837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45837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45837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45837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45837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45837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45837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45837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45837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45837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45837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45837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45837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45837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45837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45837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45837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45837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45837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45837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45837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45837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45837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45837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45837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45837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45837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45837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45837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45837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45837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45837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45837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45837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45837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45837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45837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45837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45837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45837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45837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45837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45837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45837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45837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45837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45837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45837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45837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45837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45837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45837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45837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45837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45837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45837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45837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45837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45837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45837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45837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45837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45837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45837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45837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45837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45837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45837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45837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45837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45837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45837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45837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45837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45837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45837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45837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45837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45837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45837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45837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45837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45837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45837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45837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45837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45837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45837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45837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45837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45837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45837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45837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45837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45837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45837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45837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45837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45837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45837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45837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45837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45837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45837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45837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45837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45837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45837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45837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45837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45837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45837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45837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45837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45837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45837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45837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45837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45837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45837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45837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45837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45837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45837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45837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45837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45837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45837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45837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45837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45837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45837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45837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45837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45837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45837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45837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45837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45837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45837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45837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45837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45837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45837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45837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45837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45837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45837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45837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45837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45837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45837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45837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45837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45837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45837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45837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45837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45837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45837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45837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45837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45837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45837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45837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45837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45837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45837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45837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45837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45837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45837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45837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45837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45837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45837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45837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45837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45837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45837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45837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45837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45837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45837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45837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45837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45837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45837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45837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45837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45837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45837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45837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45837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45837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45837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45837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45837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45837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45837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45837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45837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45837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45837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45837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45837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45837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45837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45837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45837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45837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45837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45837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45837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45837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45837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45837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45837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45837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45837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45837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45837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45837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45837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45837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45837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45837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45837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45837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45837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45837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45837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45837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45837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45837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45837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45837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45837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45837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45837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45837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45837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45837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45837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45837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45837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45837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45837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45837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45837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45837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45837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45837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45837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45837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45837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45837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45837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45837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45837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45837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45837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45837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45837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45837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45837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45837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45837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45837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45837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45837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45837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45837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45837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45837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45837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45837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45837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45837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45837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45837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45837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45837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45837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45837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45837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45837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45837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45837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45837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45837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45837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45837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45837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45837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45837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45837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45837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45837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45837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45837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45837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45837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45837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45837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45837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45837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45837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45837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45837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45837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45837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45837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45837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45837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45837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45837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45837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45837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45837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45837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45837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45837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45837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45837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45837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45837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45837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45837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45837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45837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45837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45837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45837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45837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45837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45837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45837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45837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45837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45837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45837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45837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45837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45837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45837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45837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45837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45837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45837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45837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45837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45837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45837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45837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45837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45837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45837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45837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45837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45837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45837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45837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45837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45837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45837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45837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45837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45837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45837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45837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45837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45837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45837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45837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45837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45837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45837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45837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45837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45837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45837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45837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45837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45837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45837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45837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45837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45837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45837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45837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45837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45837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45837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45837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45837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45837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45837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45837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45837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45837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45837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45837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45837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45837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45837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45837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45837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45837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45837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45837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45837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45837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45837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45837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45837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45837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45837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45837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45837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45837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45837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45837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45837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45837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45837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45837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45837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45837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45837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45837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45837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45837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45837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45837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45837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45837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45837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45837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45837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45837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45837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45837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45837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45837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45837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45837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45837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45837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45837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45837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45837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45837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45837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45837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45837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45837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45837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45837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45837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45837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45837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45837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45837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45837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45837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45837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45837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45837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45837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45837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45837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45837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45837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45837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45837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45837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45837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45837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45837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45837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45837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45837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45837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45837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45837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45837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45837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45837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45837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45837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45837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45837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45837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45837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45837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45837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45837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45837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45837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45837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45837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45837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45837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45837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45837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45837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45837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45837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45837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45837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45837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45837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45837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45837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45837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45837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45837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45837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45837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45837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45837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45837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45837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45837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45837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45837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45837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45837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45837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45837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45837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45837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45837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45837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45837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45837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45837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45837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45837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45837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45837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45837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45837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45837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45837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45837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45837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45837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45837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45837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45837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45837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45837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45837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45837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45837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45837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45837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45837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45837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45837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45837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45837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45837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45837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45837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45837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45837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45837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45837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45837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45837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45837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45837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45837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45837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45837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45837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45837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45837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45837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45837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45837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45837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45837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45837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45837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45837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45837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45837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45837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45837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45837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45837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45837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45837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45837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45837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45837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45837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45837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45837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45837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45837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45837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45837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45837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45837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45837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45837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45837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45837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45837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45837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45837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45837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45837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45837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45837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45837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45837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45837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45837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45837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45837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45837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45837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45837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45837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45837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45837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45837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45837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45837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45837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45837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45837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45837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45837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45837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45837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45837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45837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45837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45837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45837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45837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45837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45837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45837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45837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45837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45837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45837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45837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45837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45837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45837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45837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45837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45837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45837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45837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45837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45837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45837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45837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45837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45837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45837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45837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45837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45837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45837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45837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45837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45837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45837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45837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45837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45837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45837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45837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45837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45837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45837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45837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45837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45837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45837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45837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45837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45837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45837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45837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45837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45837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45837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45837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45837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45837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45837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45837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45837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45837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45837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45837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45837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45837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45837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45837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45837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45837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45837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45837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45837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45837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45837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45837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45837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45837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45837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45837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45837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45837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45837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45837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45837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45837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45837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45837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45837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45837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45837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45837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45837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45837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45837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45837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45837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45837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45837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45837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45837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45837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45837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45837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45837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45837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45837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45837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45837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45837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45837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45837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45837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45837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45837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45837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45837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45837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45837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45837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45837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45837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45837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45837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45837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45837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45837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45837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45837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45837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45837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45837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45837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45837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45837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45837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45837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45837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45837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45837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45837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45837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45837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45837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45837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45837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45837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45837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45837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45837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45837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45837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45837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45837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45837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45837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45837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45837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45837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45837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45837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45837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45837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45837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45837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45837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45837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45837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45837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45837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45837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45837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45837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45837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45837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45837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45837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45837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45837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45837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45837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45837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45837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45837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45837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45837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45837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45837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45837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45837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45837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45837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45837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45837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45837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45837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45837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45837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45837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45837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45837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45837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45837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45837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45837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45837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45837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45837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45837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45837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45837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45837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45837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45837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45837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45837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45837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45837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45837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45837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45837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45837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45837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45837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45837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45837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45837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45837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45837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45837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45837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45837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45837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45837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45837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45837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45837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45837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45837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45837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45837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45837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45837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45837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45837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45837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45837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45837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45837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45837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45837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45837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45837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45837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45837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45837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45837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45837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45837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45837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45837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45837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45837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45837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45837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45837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45837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45837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45837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45837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45837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45837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45837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45837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45837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45837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45837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45837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45837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45837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45837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45837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45837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45837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45837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45837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45837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45837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45837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45837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45837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45837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45837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45837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45837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45837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45837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45837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45837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45837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45837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45837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45837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45837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45837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45837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45837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45837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45837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45837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45837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45837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45837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27895-2025</t>
        </is>
      </c>
      <c r="B1049" s="1" t="n">
        <v>45817</v>
      </c>
      <c r="C1049" s="1" t="n">
        <v>45837</v>
      </c>
      <c r="D1049" t="inlineStr">
        <is>
          <t>ÖSTERGÖTLANDS LÄN</t>
        </is>
      </c>
      <c r="E1049" t="inlineStr">
        <is>
          <t>MOTALA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27896-2025</t>
        </is>
      </c>
      <c r="B1050" s="1" t="n">
        <v>45817</v>
      </c>
      <c r="C1050" s="1" t="n">
        <v>45837</v>
      </c>
      <c r="D1050" t="inlineStr">
        <is>
          <t>ÖSTERGÖTLANDS LÄN</t>
        </is>
      </c>
      <c r="E1050" t="inlineStr">
        <is>
          <t>MOTALA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45837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45837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45837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30358-2025</t>
        </is>
      </c>
      <c r="B1054" s="1" t="n">
        <v>45827</v>
      </c>
      <c r="C1054" s="1" t="n">
        <v>45837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11.4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30357-2025</t>
        </is>
      </c>
      <c r="B1055" s="1" t="n">
        <v>45827</v>
      </c>
      <c r="C1055" s="1" t="n">
        <v>45837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30640-2025</t>
        </is>
      </c>
      <c r="B1056" s="1" t="n">
        <v>45831</v>
      </c>
      <c r="C1056" s="1" t="n">
        <v>45837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2025-06-29T19:22:24Z</dcterms:created>
  <dcterms:modified xmlns:dcterms="http://purl.org/dc/terms/" xmlns:xsi="http://www.w3.org/2001/XMLSchema-instance" xsi:type="dcterms:W3CDTF">2025-06-29T19:22:25Z</dcterms:modified>
</cp:coreProperties>
</file>