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46260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46260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46260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46260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46260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46260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46260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46260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46260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46260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46260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46260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t="n">
        <v>7</v>
      </c>
      <c r="V13" s="2" t="inlineStr">
        <is>
          <t>Dropptaggsvamp
Gropticka
Tallticka
Bronshjon
Mindre märgborre
Spillkråka</t>
        </is>
      </c>
      <c r="W13">
        <f>HYPERLINK("https://klasma.github.io/Logging_0583/artfynd/A 63217-2025 artfynd.xlsx", "A 63217-2025")</f>
        <v/>
      </c>
      <c r="X13">
        <f>HYPERLINK("https://klasma.github.io/Logging_0583/kartor/A 63217-2025 karta.png", "A 63217-2025")</f>
        <v/>
      </c>
      <c r="Y13">
        <f>HYPERLINK("https://klasma.github.io/Logging_0583/kartor_geotiff/A 63217-2025 georefererad karta.tif", "A 63217-2025")</f>
        <v/>
      </c>
      <c r="AA13">
        <f>HYPERLINK("https://klasma.github.io/Logging_0583/klagomål/A 63217-2025 FSC-klagomål.docx", "A 63217-2025")</f>
        <v/>
      </c>
      <c r="AB13">
        <f>HYPERLINK("https://klasma.github.io/Logging_0583/klagomålsmail/A 63217-2025 FSC-klagomål mail.docx", "A 63217-2025")</f>
        <v/>
      </c>
      <c r="AC13">
        <f>HYPERLINK("https://klasma.github.io/Logging_0583/tillsyn/A 63217-2025 tillsynsbegäran.docx", "A 63217-2025")</f>
        <v/>
      </c>
      <c r="AD13">
        <f>HYPERLINK("https://klasma.github.io/Logging_0583/tillsynsmail/A 63217-2025 tillsynsbegäran mail.docx", "A 63217-2025")</f>
        <v/>
      </c>
      <c r="AE13">
        <f>HYPERLINK("https://klasma.github.io/Logging_0583/fåglar/A 63217-2025 prioriterade fågelarter.docx", "A 63217-2025")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46260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46260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46260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46260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46260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46260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46260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46260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46260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46260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46260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2153-2026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46260</v>
      </c>
      <c r="F25" t="inlineStr">
        <is>
          <t>ÖSTERGÖTLANDS LÄN</t>
        </is>
      </c>
      <c r="G25" t="inlineStr">
        <is>
          <t>MOTALA</t>
        </is>
      </c>
      <c r="I25" t="n">
        <v>2.8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Blomkålssvamp
Mattlummer</t>
        </is>
      </c>
      <c r="W25">
        <f>HYPERLINK("https://klasma.github.io/Logging_0583/artfynd/A 2153-2026 artfynd.xlsx", "A 2153-2026")</f>
        <v/>
      </c>
      <c r="X25">
        <f>HYPERLINK("https://klasma.github.io/Logging_0583/kartor/A 2153-2026 karta.png", "A 2153-2026")</f>
        <v/>
      </c>
      <c r="Y25">
        <f>HYPERLINK("https://klasma.github.io/Logging_0583/kartor_geotiff/A 2153-2026 georefererad karta.tif", "A 2153-2026")</f>
        <v/>
      </c>
      <c r="AA25">
        <f>HYPERLINK("https://klasma.github.io/Logging_0583/klagomål/A 2153-2026 FSC-klagomål.docx", "A 2153-2026")</f>
        <v/>
      </c>
      <c r="AB25">
        <f>HYPERLINK("https://klasma.github.io/Logging_0583/klagomålsmail/A 2153-2026 FSC-klagomål mail.docx", "A 2153-2026")</f>
        <v/>
      </c>
      <c r="AC25">
        <f>HYPERLINK("https://klasma.github.io/Logging_0583/tillsyn/A 2153-2026 tillsynsbegäran.docx", "A 2153-2026")</f>
        <v/>
      </c>
      <c r="AD25">
        <f>HYPERLINK("https://klasma.github.io/Logging_0583/tillsynsmail/A 2153-2026 tillsynsbegäran mail.docx", "A 2153-2026")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46260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46260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Stallört
Kärrknipprot</t>
        </is>
      </c>
      <c r="W27">
        <f>HYPERLINK("https://klasma.github.io/Logging_0583/artfynd/A 53201-2025 artfynd.xlsx", "A 53201-2025")</f>
        <v/>
      </c>
      <c r="X27">
        <f>HYPERLINK("https://klasma.github.io/Logging_0583/kartor/A 53201-2025 karta.png", "A 53201-2025")</f>
        <v/>
      </c>
      <c r="Y27">
        <f>HYPERLINK("https://klasma.github.io/Logging_0583/kartor_geotiff/A 53201-2025 georefererad karta.tif", "A 53201-2025")</f>
        <v/>
      </c>
      <c r="AA27">
        <f>HYPERLINK("https://klasma.github.io/Logging_0583/klagomål/A 53201-2025 FSC-klagomål.docx", "A 53201-2025")</f>
        <v/>
      </c>
      <c r="AB27">
        <f>HYPERLINK("https://klasma.github.io/Logging_0583/klagomålsmail/A 53201-2025 FSC-klagomål mail.docx", "A 53201-2025")</f>
        <v/>
      </c>
      <c r="AC27">
        <f>HYPERLINK("https://klasma.github.io/Logging_0583/tillsyn/A 53201-2025 tillsynsbegäran.docx", "A 53201-2025")</f>
        <v/>
      </c>
      <c r="AD27">
        <f>HYPERLINK("https://klasma.github.io/Logging_0583/tillsynsmail/A 53201-2025 tillsynsbegäran mail.docx", "A 53201-2025")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46260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46260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Blomkålssvamp
Revlummer</t>
        </is>
      </c>
      <c r="W29">
        <f>HYPERLINK("https://klasma.github.io/Logging_0583/artfynd/A 44938-2025 artfynd.xlsx", "A 44938-2025")</f>
        <v/>
      </c>
      <c r="X29">
        <f>HYPERLINK("https://klasma.github.io/Logging_0583/kartor/A 44938-2025 karta.png", "A 44938-2025")</f>
        <v/>
      </c>
      <c r="Y29">
        <f>HYPERLINK("https://klasma.github.io/Logging_0583/kartor_geotiff/A 44938-2025 georefererad karta.tif", "A 44938-2025")</f>
        <v/>
      </c>
      <c r="AA29">
        <f>HYPERLINK("https://klasma.github.io/Logging_0583/klagomål/A 44938-2025 FSC-klagomål.docx", "A 44938-2025")</f>
        <v/>
      </c>
      <c r="AB29">
        <f>HYPERLINK("https://klasma.github.io/Logging_0583/klagomålsmail/A 44938-2025 FSC-klagomål mail.docx", "A 44938-2025")</f>
        <v/>
      </c>
      <c r="AC29">
        <f>HYPERLINK("https://klasma.github.io/Logging_0583/tillsyn/A 44938-2025 tillsynsbegäran.docx", "A 44938-2025")</f>
        <v/>
      </c>
      <c r="AD29">
        <f>HYPERLINK("https://klasma.github.io/Logging_0583/tillsynsmail/A 44938-2025 tillsynsbegäran mail.docx", "A 44938-2025")</f>
        <v/>
      </c>
    </row>
    <row r="30" ht="15" customHeight="1">
      <c r="A30" t="inlineStr">
        <is>
          <t>A 48392-2024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46260</v>
      </c>
      <c r="F30" t="inlineStr">
        <is>
          <t>ÖSTERGÖTLANDS LÄN</t>
        </is>
      </c>
      <c r="G30" t="inlineStr">
        <is>
          <t>MOTALA</t>
        </is>
      </c>
      <c r="I30" t="n">
        <v>0.6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Vätteros
Nattviol</t>
        </is>
      </c>
      <c r="W30">
        <f>HYPERLINK("https://klasma.github.io/Logging_0583/artfynd/A 48392-2024 artfynd.xlsx", "A 48392-2024")</f>
        <v/>
      </c>
      <c r="X30">
        <f>HYPERLINK("https://klasma.github.io/Logging_0583/kartor/A 48392-2024 karta.png", "A 48392-2024")</f>
        <v/>
      </c>
      <c r="Y30">
        <f>HYPERLINK("https://klasma.github.io/Logging_0583/kartor_geotiff/A 48392-2024 georefererad karta.tif", "A 48392-2024")</f>
        <v/>
      </c>
      <c r="AA30">
        <f>HYPERLINK("https://klasma.github.io/Logging_0583/klagomål/A 48392-2024 FSC-klagomål.docx", "A 48392-2024")</f>
        <v/>
      </c>
      <c r="AB30">
        <f>HYPERLINK("https://klasma.github.io/Logging_0583/klagomålsmail/A 48392-2024 FSC-klagomål mail.docx", "A 48392-2024")</f>
        <v/>
      </c>
      <c r="AC30">
        <f>HYPERLINK("https://klasma.github.io/Logging_0583/tillsyn/A 48392-2024 tillsynsbegäran.docx", "A 48392-2024")</f>
        <v/>
      </c>
      <c r="AD30">
        <f>HYPERLINK("https://klasma.github.io/Logging_0583/tillsynsmail/A 48392-2024 tillsynsbegäran mail.docx", "A 48392-2024")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46260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46260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46260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46260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46260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46260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21991-2023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46260</v>
      </c>
      <c r="F37" t="inlineStr">
        <is>
          <t>ÖSTERGÖTLANDS LÄN</t>
        </is>
      </c>
      <c r="G37" t="inlineStr">
        <is>
          <t>MOTALA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Vedtrappmossa</t>
        </is>
      </c>
      <c r="W37">
        <f>HYPERLINK("https://klasma.github.io/Logging_0583/artfynd/A 21991-2023 artfynd.xlsx", "A 21991-2023")</f>
        <v/>
      </c>
      <c r="X37">
        <f>HYPERLINK("https://klasma.github.io/Logging_0583/kartor/A 21991-2023 karta.png", "A 21991-2023")</f>
        <v/>
      </c>
      <c r="Y37">
        <f>HYPERLINK("https://klasma.github.io/Logging_0583/kartor_geotiff/A 21991-2023 georefererad karta.tif", "A 21991-2023")</f>
        <v/>
      </c>
      <c r="AA37">
        <f>HYPERLINK("https://klasma.github.io/Logging_0583/klagomål/A 21991-2023 FSC-klagomål.docx", "A 21991-2023")</f>
        <v/>
      </c>
      <c r="AB37">
        <f>HYPERLINK("https://klasma.github.io/Logging_0583/klagomålsmail/A 21991-2023 FSC-klagomål mail.docx", "A 21991-2023")</f>
        <v/>
      </c>
      <c r="AC37">
        <f>HYPERLINK("https://klasma.github.io/Logging_0583/tillsyn/A 21991-2023 tillsynsbegäran.docx", "A 21991-2023")</f>
        <v/>
      </c>
      <c r="AD37">
        <f>HYPERLINK("https://klasma.github.io/Logging_0583/tillsynsmail/A 21991-2023 tillsynsbegäran mail.docx", "A 21991-2023")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46260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46260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46260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44814-2025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45918</v>
      </c>
      <c r="E41" s="1" t="n">
        <v>46260</v>
      </c>
      <c r="F41" t="inlineStr">
        <is>
          <t>ÖSTERGÖTLANDS LÄN</t>
        </is>
      </c>
      <c r="G41" t="inlineStr">
        <is>
          <t>MOTALA</t>
        </is>
      </c>
      <c r="I41" t="n">
        <v>5.9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HYPERLINK("https://klasma.github.io/Logging_0583/artfynd/A 44814-2025 artfynd.xlsx", "A 44814-2025")</f>
        <v/>
      </c>
      <c r="X41">
        <f>HYPERLINK("https://klasma.github.io/Logging_0583/kartor/A 44814-2025 karta.png", "A 44814-2025")</f>
        <v/>
      </c>
      <c r="Y41">
        <f>HYPERLINK("https://klasma.github.io/Logging_0583/kartor_geotiff/A 44814-2025 georefererad karta.tif", "A 44814-2025")</f>
        <v/>
      </c>
      <c r="AA41">
        <f>HYPERLINK("https://klasma.github.io/Logging_0583/klagomål/A 44814-2025 FSC-klagomål.docx", "A 44814-2025")</f>
        <v/>
      </c>
      <c r="AB41">
        <f>HYPERLINK("https://klasma.github.io/Logging_0583/klagomålsmail/A 44814-2025 FSC-klagomål mail.docx", "A 44814-2025")</f>
        <v/>
      </c>
      <c r="AC41">
        <f>HYPERLINK("https://klasma.github.io/Logging_0583/tillsyn/A 44814-2025 tillsynsbegäran.docx", "A 44814-2025")</f>
        <v/>
      </c>
      <c r="AD41">
        <f>HYPERLINK("https://klasma.github.io/Logging_0583/tillsynsmail/A 44814-2025 tillsynsbegäran mail.docx", "A 44814-2025")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46260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46260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27907-2026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46191</v>
      </c>
      <c r="E44" s="1" t="n">
        <v>46260</v>
      </c>
      <c r="F44" t="inlineStr">
        <is>
          <t>ÖSTERGÖTLANDS LÄN</t>
        </is>
      </c>
      <c r="G44" t="inlineStr">
        <is>
          <t>MOTALA</t>
        </is>
      </c>
      <c r="H44" t="inlineStr">
        <is>
          <t>Holmen skog AB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HYPERLINK("https://klasma.github.io/Logging_0583/artfynd/A 27907-2026 artfynd.xlsx", "A 27907-2026")</f>
        <v/>
      </c>
      <c r="X44">
        <f>HYPERLINK("https://klasma.github.io/Logging_0583/kartor/A 27907-2026 karta.png", "A 27907-2026")</f>
        <v/>
      </c>
      <c r="Y44">
        <f>HYPERLINK("https://klasma.github.io/Logging_0583/kartor_geotiff/A 27907-2026 georefererad karta.tif", "A 27907-2026")</f>
        <v/>
      </c>
      <c r="AA44">
        <f>HYPERLINK("https://klasma.github.io/Logging_0583/klagomål/A 27907-2026 FSC-klagomål.docx", "A 27907-2026")</f>
        <v/>
      </c>
      <c r="AB44">
        <f>HYPERLINK("https://klasma.github.io/Logging_0583/klagomålsmail/A 27907-2026 FSC-klagomål mail.docx", "A 27907-2026")</f>
        <v/>
      </c>
      <c r="AC44">
        <f>HYPERLINK("https://klasma.github.io/Logging_0583/tillsyn/A 27907-2026 tillsynsbegäran.docx", "A 27907-2026")</f>
        <v/>
      </c>
      <c r="AD44">
        <f>HYPERLINK("https://klasma.github.io/Logging_0583/tillsynsmail/A 27907-2026 tillsynsbegäran mail.docx", "A 27907-2026")</f>
        <v/>
      </c>
      <c r="AE44">
        <f>HYPERLINK("https://klasma.github.io/Logging_0583/fåglar/A 27907-2026 prioriterade fågelarter.docx", "A 27907-2026")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46260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52523-2022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46260</v>
      </c>
      <c r="F46" t="inlineStr">
        <is>
          <t>ÖSTERGÖTLANDS LÄN</t>
        </is>
      </c>
      <c r="G46" t="inlineStr">
        <is>
          <t>MOTALA</t>
        </is>
      </c>
      <c r="H46" t="inlineStr">
        <is>
          <t>Kyrkan</t>
        </is>
      </c>
      <c r="I46" t="n">
        <v>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HYPERLINK("https://klasma.github.io/Logging_0583/artfynd/A 52523-2022 artfynd.xlsx", "A 52523-2022")</f>
        <v/>
      </c>
      <c r="X46">
        <f>HYPERLINK("https://klasma.github.io/Logging_0583/kartor/A 52523-2022 karta.png", "A 52523-2022")</f>
        <v/>
      </c>
      <c r="Y46">
        <f>HYPERLINK("https://klasma.github.io/Logging_0583/kartor_geotiff/A 52523-2022 georefererad karta.tif", "A 52523-2022")</f>
        <v/>
      </c>
      <c r="AA46">
        <f>HYPERLINK("https://klasma.github.io/Logging_0583/klagomål/A 52523-2022 FSC-klagomål.docx", "A 52523-2022")</f>
        <v/>
      </c>
      <c r="AB46">
        <f>HYPERLINK("https://klasma.github.io/Logging_0583/klagomålsmail/A 52523-2022 FSC-klagomål mail.docx", "A 52523-2022")</f>
        <v/>
      </c>
      <c r="AC46">
        <f>HYPERLINK("https://klasma.github.io/Logging_0583/tillsyn/A 52523-2022 tillsynsbegäran.docx", "A 52523-2022")</f>
        <v/>
      </c>
      <c r="AD46">
        <f>HYPERLINK("https://klasma.github.io/Logging_0583/tillsynsmail/A 52523-2022 tillsynsbegäran mail.docx", "A 52523-2022")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46260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46260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46260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46260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46260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46260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46260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46260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46260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46260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46260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46260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46260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46260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46260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46260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46260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46260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46260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46260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46260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46260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46260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46260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46260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46260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46260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46260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46260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46260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46260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46260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46260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46260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46260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46260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46260</v>
      </c>
      <c r="F86" t="inlineStr">
        <is>
          <t>ÖSTERGÖTLANDS LÄN</t>
        </is>
      </c>
      <c r="G86" t="inlineStr">
        <is>
          <t>MOTALA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46260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46260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46260</v>
      </c>
      <c r="F89" t="inlineStr">
        <is>
          <t>ÖSTERGÖTLANDS LÄN</t>
        </is>
      </c>
      <c r="G89" t="inlineStr">
        <is>
          <t>MOTALA</t>
        </is>
      </c>
      <c r="I89" t="n">
        <v>13.6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46260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46260</v>
      </c>
      <c r="F91" t="inlineStr">
        <is>
          <t>ÖSTERGÖTLANDS LÄN</t>
        </is>
      </c>
      <c r="G91" t="inlineStr">
        <is>
          <t>MOTALA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46260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46260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46260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46260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46260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46260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46260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46260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46260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46260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46260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46260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46260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46260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46260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46260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46260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46260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46260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46260</v>
      </c>
      <c r="F111" t="inlineStr">
        <is>
          <t>ÖSTERGÖTLANDS LÄN</t>
        </is>
      </c>
      <c r="G111" t="inlineStr">
        <is>
          <t>MOTALA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68348-2021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44528</v>
      </c>
      <c r="E112" s="1" t="n">
        <v>46260</v>
      </c>
      <c r="F112" t="inlineStr">
        <is>
          <t>ÖSTERGÖTLANDS LÄN</t>
        </is>
      </c>
      <c r="G112" t="inlineStr">
        <is>
          <t>MOTALA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46260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46260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46260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46260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46260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46260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46260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46260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46260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46260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46260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46260</v>
      </c>
      <c r="F124" t="inlineStr">
        <is>
          <t>ÖSTERGÖTLANDS LÄN</t>
        </is>
      </c>
      <c r="G124" t="inlineStr">
        <is>
          <t>MOTALA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46260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45454</v>
      </c>
      <c r="E126" s="1" t="n">
        <v>46260</v>
      </c>
      <c r="F126" t="inlineStr">
        <is>
          <t>ÖSTERGÖTLANDS LÄN</t>
        </is>
      </c>
      <c r="G126" t="inlineStr">
        <is>
          <t>MOTALA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46260</v>
      </c>
      <c r="F127" t="inlineStr">
        <is>
          <t>ÖSTERGÖTLANDS LÄN</t>
        </is>
      </c>
      <c r="G127" t="inlineStr">
        <is>
          <t>MOTALA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46260</v>
      </c>
      <c r="F128" t="inlineStr">
        <is>
          <t>ÖSTERGÖTLANDS LÄN</t>
        </is>
      </c>
      <c r="G128" t="inlineStr">
        <is>
          <t>MOTALA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46260</v>
      </c>
      <c r="F129" t="inlineStr">
        <is>
          <t>ÖSTERGÖTLANDS LÄN</t>
        </is>
      </c>
      <c r="G129" t="inlineStr">
        <is>
          <t>MOTALA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45114</v>
      </c>
      <c r="E130" s="1" t="n">
        <v>46260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46260</v>
      </c>
      <c r="F131" t="inlineStr">
        <is>
          <t>ÖSTERGÖTLANDS LÄN</t>
        </is>
      </c>
      <c r="G131" t="inlineStr">
        <is>
          <t>MOTALA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46260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46260</v>
      </c>
      <c r="F133" t="inlineStr">
        <is>
          <t>ÖSTERGÖTLANDS LÄN</t>
        </is>
      </c>
      <c r="G133" t="inlineStr">
        <is>
          <t>MOTALA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46260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46260</v>
      </c>
      <c r="F135" t="inlineStr">
        <is>
          <t>ÖSTERGÖTLANDS LÄN</t>
        </is>
      </c>
      <c r="G135" t="inlineStr">
        <is>
          <t>MOTALA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46260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45302</v>
      </c>
      <c r="E137" s="1" t="n">
        <v>46260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46260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46260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44748</v>
      </c>
      <c r="E140" s="1" t="n">
        <v>46260</v>
      </c>
      <c r="F140" t="inlineStr">
        <is>
          <t>ÖSTERGÖTLANDS LÄN</t>
        </is>
      </c>
      <c r="G140" t="inlineStr">
        <is>
          <t>MOTALA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46260</v>
      </c>
      <c r="F141" t="inlineStr">
        <is>
          <t>ÖSTERGÖTLANDS LÄN</t>
        </is>
      </c>
      <c r="G141" t="inlineStr">
        <is>
          <t>MOTALA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46260</v>
      </c>
      <c r="F142" t="inlineStr">
        <is>
          <t>ÖSTERGÖTLANDS LÄN</t>
        </is>
      </c>
      <c r="G142" t="inlineStr">
        <is>
          <t>MOTALA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46260</v>
      </c>
      <c r="F143" t="inlineStr">
        <is>
          <t>ÖSTERGÖTLANDS LÄN</t>
        </is>
      </c>
      <c r="G143" t="inlineStr">
        <is>
          <t>MOTALA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46260</v>
      </c>
      <c r="F144" t="inlineStr">
        <is>
          <t>ÖSTERGÖTLANDS LÄN</t>
        </is>
      </c>
      <c r="G144" t="inlineStr">
        <is>
          <t>MOTALA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46260</v>
      </c>
      <c r="F145" t="inlineStr">
        <is>
          <t>ÖSTERGÖTLANDS LÄN</t>
        </is>
      </c>
      <c r="G145" t="inlineStr">
        <is>
          <t>MOTALA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46260</v>
      </c>
      <c r="F146" t="inlineStr">
        <is>
          <t>ÖSTERGÖTLANDS LÄN</t>
        </is>
      </c>
      <c r="G146" t="inlineStr">
        <is>
          <t>MOTALA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46260</v>
      </c>
      <c r="F147" t="inlineStr">
        <is>
          <t>ÖSTERGÖTLANDS LÄN</t>
        </is>
      </c>
      <c r="G147" t="inlineStr">
        <is>
          <t>MOTALA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46260</v>
      </c>
      <c r="F148" t="inlineStr">
        <is>
          <t>ÖSTERGÖTLANDS LÄN</t>
        </is>
      </c>
      <c r="G148" t="inlineStr">
        <is>
          <t>MOTALA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46260</v>
      </c>
      <c r="F149" t="inlineStr">
        <is>
          <t>ÖSTERGÖTLANDS LÄN</t>
        </is>
      </c>
      <c r="G149" t="inlineStr">
        <is>
          <t>MOTALA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46260</v>
      </c>
      <c r="F150" t="inlineStr">
        <is>
          <t>ÖSTERGÖTLANDS LÄN</t>
        </is>
      </c>
      <c r="G150" t="inlineStr">
        <is>
          <t>MOTALA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46260</v>
      </c>
      <c r="F151" t="inlineStr">
        <is>
          <t>ÖSTERGÖTLANDS LÄN</t>
        </is>
      </c>
      <c r="G151" t="inlineStr">
        <is>
          <t>MOTALA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46260</v>
      </c>
      <c r="F152" t="inlineStr">
        <is>
          <t>ÖSTERGÖTLANDS LÄN</t>
        </is>
      </c>
      <c r="G152" t="inlineStr">
        <is>
          <t>MOTALA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45429</v>
      </c>
      <c r="E153" s="1" t="n">
        <v>46260</v>
      </c>
      <c r="F153" t="inlineStr">
        <is>
          <t>ÖSTERGÖTLANDS LÄN</t>
        </is>
      </c>
      <c r="G153" t="inlineStr">
        <is>
          <t>MOTALA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50785-2021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46260</v>
      </c>
      <c r="F154" t="inlineStr">
        <is>
          <t>ÖSTERGÖTLANDS LÄN</t>
        </is>
      </c>
      <c r="G154" t="inlineStr">
        <is>
          <t>MOTALA</t>
        </is>
      </c>
      <c r="H154" t="inlineStr">
        <is>
          <t>Kyrkan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46260</v>
      </c>
      <c r="F155" t="inlineStr">
        <is>
          <t>ÖSTERGÖTLANDS LÄN</t>
        </is>
      </c>
      <c r="G155" t="inlineStr">
        <is>
          <t>MOTALA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46260</v>
      </c>
      <c r="F156" t="inlineStr">
        <is>
          <t>ÖSTERGÖTLANDS LÄN</t>
        </is>
      </c>
      <c r="G156" t="inlineStr">
        <is>
          <t>MOTALA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46260</v>
      </c>
      <c r="F157" t="inlineStr">
        <is>
          <t>ÖSTERGÖTLANDS LÄN</t>
        </is>
      </c>
      <c r="G157" t="inlineStr">
        <is>
          <t>MOTALA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46260</v>
      </c>
      <c r="F158" t="inlineStr">
        <is>
          <t>ÖSTERGÖTLANDS LÄN</t>
        </is>
      </c>
      <c r="G158" t="inlineStr">
        <is>
          <t>MOTALA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46260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46260</v>
      </c>
      <c r="F160" t="inlineStr">
        <is>
          <t>ÖSTERGÖTLANDS LÄN</t>
        </is>
      </c>
      <c r="G160" t="inlineStr">
        <is>
          <t>MOTALA</t>
        </is>
      </c>
      <c r="I160" t="n">
        <v>17.6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46260</v>
      </c>
      <c r="F161" t="inlineStr">
        <is>
          <t>ÖSTERGÖTLANDS LÄN</t>
        </is>
      </c>
      <c r="G161" t="inlineStr">
        <is>
          <t>MOTALA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46061</v>
      </c>
      <c r="E162" s="1" t="n">
        <v>46260</v>
      </c>
      <c r="F162" t="inlineStr">
        <is>
          <t>ÖSTERGÖTLANDS LÄN</t>
        </is>
      </c>
      <c r="G162" t="inlineStr">
        <is>
          <t>MOTALA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46064</v>
      </c>
      <c r="E163" s="1" t="n">
        <v>46260</v>
      </c>
      <c r="F163" t="inlineStr">
        <is>
          <t>ÖSTERGÖTLANDS LÄN</t>
        </is>
      </c>
      <c r="G163" t="inlineStr">
        <is>
          <t>MOTALA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2028-2022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44575</v>
      </c>
      <c r="E164" s="1" t="n">
        <v>46260</v>
      </c>
      <c r="F164" t="inlineStr">
        <is>
          <t>ÖSTERGÖTLANDS LÄN</t>
        </is>
      </c>
      <c r="G164" t="inlineStr">
        <is>
          <t>MOTALA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46260</v>
      </c>
      <c r="F165" t="inlineStr">
        <is>
          <t>ÖSTERGÖTLANDS LÄN</t>
        </is>
      </c>
      <c r="G165" t="inlineStr">
        <is>
          <t>MOTALA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46260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46260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46260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46260</v>
      </c>
      <c r="F169" t="inlineStr">
        <is>
          <t>ÖSTERGÖTLANDS LÄN</t>
        </is>
      </c>
      <c r="G169" t="inlineStr">
        <is>
          <t>MOTALA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46260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46260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46260</v>
      </c>
      <c r="F172" t="inlineStr">
        <is>
          <t>ÖSTERGÖTLANDS LÄN</t>
        </is>
      </c>
      <c r="G172" t="inlineStr">
        <is>
          <t>MOTALA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46260</v>
      </c>
      <c r="F173" t="inlineStr">
        <is>
          <t>ÖSTERGÖTLANDS LÄN</t>
        </is>
      </c>
      <c r="G173" t="inlineStr">
        <is>
          <t>MOTALA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46260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46260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46260</v>
      </c>
      <c r="F176" t="inlineStr">
        <is>
          <t>ÖSTERGÖTLANDS LÄN</t>
        </is>
      </c>
      <c r="G176" t="inlineStr">
        <is>
          <t>MOTALA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46260</v>
      </c>
      <c r="F177" t="inlineStr">
        <is>
          <t>ÖSTERGÖTLANDS LÄN</t>
        </is>
      </c>
      <c r="G177" t="inlineStr">
        <is>
          <t>MOTALA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46073</v>
      </c>
      <c r="E178" s="1" t="n">
        <v>46260</v>
      </c>
      <c r="F178" t="inlineStr">
        <is>
          <t>ÖSTERGÖTLANDS LÄN</t>
        </is>
      </c>
      <c r="G178" t="inlineStr">
        <is>
          <t>MOTALA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10510-2026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46077</v>
      </c>
      <c r="E179" s="1" t="n">
        <v>46260</v>
      </c>
      <c r="F179" t="inlineStr">
        <is>
          <t>ÖSTERGÖTLANDS LÄN</t>
        </is>
      </c>
      <c r="G179" t="inlineStr">
        <is>
          <t>MOTALA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46260</v>
      </c>
      <c r="F180" t="inlineStr">
        <is>
          <t>ÖSTERGÖTLANDS LÄN</t>
        </is>
      </c>
      <c r="G180" t="inlineStr">
        <is>
          <t>MOTALA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46080</v>
      </c>
      <c r="E181" s="1" t="n">
        <v>46260</v>
      </c>
      <c r="F181" t="inlineStr">
        <is>
          <t>ÖSTERGÖTLANDS LÄN</t>
        </is>
      </c>
      <c r="G181" t="inlineStr">
        <is>
          <t>MOTALA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46260</v>
      </c>
      <c r="F182" t="inlineStr">
        <is>
          <t>ÖSTERGÖTLANDS LÄN</t>
        </is>
      </c>
      <c r="G182" t="inlineStr">
        <is>
          <t>MOTALA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46260</v>
      </c>
      <c r="F183" t="inlineStr">
        <is>
          <t>ÖSTERGÖTLANDS LÄN</t>
        </is>
      </c>
      <c r="G183" t="inlineStr">
        <is>
          <t>MOTALA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46260</v>
      </c>
      <c r="F184" t="inlineStr">
        <is>
          <t>ÖSTERGÖTLANDS LÄN</t>
        </is>
      </c>
      <c r="G184" t="inlineStr">
        <is>
          <t>MOTALA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46260</v>
      </c>
      <c r="F185" t="inlineStr">
        <is>
          <t>ÖSTERGÖTLANDS LÄN</t>
        </is>
      </c>
      <c r="G185" t="inlineStr">
        <is>
          <t>MOTALA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46091</v>
      </c>
      <c r="E186" s="1" t="n">
        <v>46260</v>
      </c>
      <c r="F186" t="inlineStr">
        <is>
          <t>ÖSTERGÖTLANDS LÄN</t>
        </is>
      </c>
      <c r="G186" t="inlineStr">
        <is>
          <t>MOTALA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46260</v>
      </c>
      <c r="F187" t="inlineStr">
        <is>
          <t>ÖSTERGÖTLANDS LÄN</t>
        </is>
      </c>
      <c r="G187" t="inlineStr">
        <is>
          <t>MOTALA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46260</v>
      </c>
      <c r="F188" t="inlineStr">
        <is>
          <t>ÖSTERGÖTLANDS LÄN</t>
        </is>
      </c>
      <c r="G188" t="inlineStr">
        <is>
          <t>MOTALA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46260</v>
      </c>
      <c r="F189" t="inlineStr">
        <is>
          <t>ÖSTERGÖTLANDS LÄN</t>
        </is>
      </c>
      <c r="G189" t="inlineStr">
        <is>
          <t>MOTALA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12968-2026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46092</v>
      </c>
      <c r="E190" s="1" t="n">
        <v>46260</v>
      </c>
      <c r="F190" t="inlineStr">
        <is>
          <t>ÖSTERGÖTLANDS LÄN</t>
        </is>
      </c>
      <c r="G190" t="inlineStr">
        <is>
          <t>MOTALA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46260</v>
      </c>
      <c r="F191" t="inlineStr">
        <is>
          <t>ÖSTERGÖTLANDS LÄN</t>
        </is>
      </c>
      <c r="G191" t="inlineStr">
        <is>
          <t>MOTALA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46260</v>
      </c>
      <c r="F192" t="inlineStr">
        <is>
          <t>ÖSTERGÖTLANDS LÄN</t>
        </is>
      </c>
      <c r="G192" t="inlineStr">
        <is>
          <t>MOTALA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46260</v>
      </c>
      <c r="F193" t="inlineStr">
        <is>
          <t>ÖSTERGÖTLANDS LÄN</t>
        </is>
      </c>
      <c r="G193" t="inlineStr">
        <is>
          <t>MOTALA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46260</v>
      </c>
      <c r="F194" t="inlineStr">
        <is>
          <t>ÖSTERGÖTLANDS LÄN</t>
        </is>
      </c>
      <c r="G194" t="inlineStr">
        <is>
          <t>MOTALA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46260</v>
      </c>
      <c r="F195" t="inlineStr">
        <is>
          <t>ÖSTERGÖTLANDS LÄN</t>
        </is>
      </c>
      <c r="G195" t="inlineStr">
        <is>
          <t>MOTALA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46260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46260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46260</v>
      </c>
      <c r="F198" t="inlineStr">
        <is>
          <t>ÖSTERGÖTLANDS LÄN</t>
        </is>
      </c>
      <c r="G198" t="inlineStr">
        <is>
          <t>MOTALA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46260</v>
      </c>
      <c r="F199" t="inlineStr">
        <is>
          <t>ÖSTERGÖTLANDS LÄN</t>
        </is>
      </c>
      <c r="G199" t="inlineStr">
        <is>
          <t>MOTALA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46260</v>
      </c>
      <c r="F200" t="inlineStr">
        <is>
          <t>ÖSTERGÖTLANDS LÄN</t>
        </is>
      </c>
      <c r="G200" t="inlineStr">
        <is>
          <t>MOTALA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44890</v>
      </c>
      <c r="E201" s="1" t="n">
        <v>46260</v>
      </c>
      <c r="F201" t="inlineStr">
        <is>
          <t>ÖSTERGÖTLANDS LÄN</t>
        </is>
      </c>
      <c r="G201" t="inlineStr">
        <is>
          <t>MOTALA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46094</v>
      </c>
      <c r="E202" s="1" t="n">
        <v>46260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46260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46260</v>
      </c>
      <c r="F204" t="inlineStr">
        <is>
          <t>ÖSTERGÖTLANDS LÄN</t>
        </is>
      </c>
      <c r="G204" t="inlineStr">
        <is>
          <t>MOTALA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46260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46260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46260</v>
      </c>
      <c r="F207" t="inlineStr">
        <is>
          <t>ÖSTERGÖTLANDS LÄN</t>
        </is>
      </c>
      <c r="G207" t="inlineStr">
        <is>
          <t>MOTALA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45237</v>
      </c>
      <c r="E208" s="1" t="n">
        <v>46260</v>
      </c>
      <c r="F208" t="inlineStr">
        <is>
          <t>ÖSTERGÖTLANDS LÄN</t>
        </is>
      </c>
      <c r="G208" t="inlineStr">
        <is>
          <t>MOTALA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46260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46260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46260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46260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46260</v>
      </c>
      <c r="F213" t="inlineStr">
        <is>
          <t>ÖSTERGÖTLANDS LÄN</t>
        </is>
      </c>
      <c r="G213" t="inlineStr">
        <is>
          <t>MOTALA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13422-2022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44645</v>
      </c>
      <c r="E214" s="1" t="n">
        <v>46260</v>
      </c>
      <c r="F214" t="inlineStr">
        <is>
          <t>ÖSTERGÖTLANDS LÄN</t>
        </is>
      </c>
      <c r="G214" t="inlineStr">
        <is>
          <t>MOTALA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46100</v>
      </c>
      <c r="E215" s="1" t="n">
        <v>46260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12.9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15551-2026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46106</v>
      </c>
      <c r="E216" s="1" t="n">
        <v>46260</v>
      </c>
      <c r="F216" t="inlineStr">
        <is>
          <t>ÖSTERGÖTLANDS LÄN</t>
        </is>
      </c>
      <c r="G216" t="inlineStr">
        <is>
          <t>MOTALA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46260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46260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46260</v>
      </c>
      <c r="F219" t="inlineStr">
        <is>
          <t>ÖSTERGÖTLANDS LÄN</t>
        </is>
      </c>
      <c r="G219" t="inlineStr">
        <is>
          <t>MOTALA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46260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46260</v>
      </c>
      <c r="F221" t="inlineStr">
        <is>
          <t>ÖSTERGÖTLANDS LÄN</t>
        </is>
      </c>
      <c r="G221" t="inlineStr">
        <is>
          <t>MOTALA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45099-2023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46260</v>
      </c>
      <c r="F222" t="inlineStr">
        <is>
          <t>ÖSTERGÖTLANDS LÄN</t>
        </is>
      </c>
      <c r="G222" t="inlineStr">
        <is>
          <t>MOTALA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46260</v>
      </c>
      <c r="F223" t="inlineStr">
        <is>
          <t>ÖSTERGÖTLANDS LÄN</t>
        </is>
      </c>
      <c r="G223" t="inlineStr">
        <is>
          <t>MOTALA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46260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46260</v>
      </c>
      <c r="F225" t="inlineStr">
        <is>
          <t>ÖSTERGÖTLANDS LÄN</t>
        </is>
      </c>
      <c r="G225" t="inlineStr">
        <is>
          <t>MOTALA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46260</v>
      </c>
      <c r="F226" t="inlineStr">
        <is>
          <t>ÖSTERGÖTLANDS LÄN</t>
        </is>
      </c>
      <c r="G226" t="inlineStr">
        <is>
          <t>MOTALA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46260</v>
      </c>
      <c r="F227" t="inlineStr">
        <is>
          <t>ÖSTERGÖTLANDS LÄN</t>
        </is>
      </c>
      <c r="G227" t="inlineStr">
        <is>
          <t>MOTALA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46260</v>
      </c>
      <c r="F228" t="inlineStr">
        <is>
          <t>ÖSTERGÖTLANDS LÄN</t>
        </is>
      </c>
      <c r="G228" t="inlineStr">
        <is>
          <t>MOTALA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44628</v>
      </c>
      <c r="E229" s="1" t="n">
        <v>46260</v>
      </c>
      <c r="F229" t="inlineStr">
        <is>
          <t>ÖSTERGÖTLANDS LÄN</t>
        </is>
      </c>
      <c r="G229" t="inlineStr">
        <is>
          <t>MOTALA</t>
        </is>
      </c>
      <c r="H229" t="inlineStr">
        <is>
          <t>Allmännings- och besparingsskogar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57992-2021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44487</v>
      </c>
      <c r="E230" s="1" t="n">
        <v>46260</v>
      </c>
      <c r="F230" t="inlineStr">
        <is>
          <t>ÖSTERGÖTLANDS LÄN</t>
        </is>
      </c>
      <c r="G230" t="inlineStr">
        <is>
          <t>MOTALA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46260</v>
      </c>
      <c r="F231" t="inlineStr">
        <is>
          <t>ÖSTERGÖTLANDS LÄN</t>
        </is>
      </c>
      <c r="G231" t="inlineStr">
        <is>
          <t>MOTALA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44967</v>
      </c>
      <c r="E232" s="1" t="n">
        <v>46260</v>
      </c>
      <c r="F232" t="inlineStr">
        <is>
          <t>ÖSTERGÖTLANDS LÄN</t>
        </is>
      </c>
      <c r="G232" t="inlineStr">
        <is>
          <t>MOTALA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17741-2026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46260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46260</v>
      </c>
      <c r="F234" t="inlineStr">
        <is>
          <t>ÖSTERGÖTLANDS LÄN</t>
        </is>
      </c>
      <c r="G234" t="inlineStr">
        <is>
          <t>MOTALA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46260</v>
      </c>
      <c r="F235" t="inlineStr">
        <is>
          <t>ÖSTERGÖTLANDS LÄN</t>
        </is>
      </c>
      <c r="G235" t="inlineStr">
        <is>
          <t>MOTALA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46260</v>
      </c>
      <c r="F236" t="inlineStr">
        <is>
          <t>ÖSTERGÖTLANDS LÄN</t>
        </is>
      </c>
      <c r="G236" t="inlineStr">
        <is>
          <t>MOTALA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46260</v>
      </c>
      <c r="F237" t="inlineStr">
        <is>
          <t>ÖSTERGÖTLANDS LÄN</t>
        </is>
      </c>
      <c r="G237" t="inlineStr">
        <is>
          <t>MOTALA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46260</v>
      </c>
      <c r="F238" t="inlineStr">
        <is>
          <t>ÖSTERGÖTLANDS LÄN</t>
        </is>
      </c>
      <c r="G238" t="inlineStr">
        <is>
          <t>MOTALA</t>
        </is>
      </c>
      <c r="H238" t="inlineStr">
        <is>
          <t>Övriga statliga verk och myndigheter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46260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46260</v>
      </c>
      <c r="F240" t="inlineStr">
        <is>
          <t>ÖSTERGÖTLANDS LÄN</t>
        </is>
      </c>
      <c r="G240" t="inlineStr">
        <is>
          <t>MOTALA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46260</v>
      </c>
      <c r="F241" t="inlineStr">
        <is>
          <t>ÖSTERGÖTLANDS LÄN</t>
        </is>
      </c>
      <c r="G241" t="inlineStr">
        <is>
          <t>MOTALA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46260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22108-2023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46260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46260</v>
      </c>
      <c r="F244" t="inlineStr">
        <is>
          <t>ÖSTERGÖTLANDS LÄN</t>
        </is>
      </c>
      <c r="G244" t="inlineStr">
        <is>
          <t>MOTALA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46260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46132</v>
      </c>
      <c r="E246" s="1" t="n">
        <v>46260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46260</v>
      </c>
      <c r="F247" t="inlineStr">
        <is>
          <t>ÖSTERGÖTLANDS LÄN</t>
        </is>
      </c>
      <c r="G247" t="inlineStr">
        <is>
          <t>MOTALA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46260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46260</v>
      </c>
      <c r="F249" t="inlineStr">
        <is>
          <t>ÖSTERGÖTLANDS LÄN</t>
        </is>
      </c>
      <c r="G249" t="inlineStr">
        <is>
          <t>MOTALA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46260</v>
      </c>
      <c r="F250" t="inlineStr">
        <is>
          <t>ÖSTERGÖTLANDS LÄN</t>
        </is>
      </c>
      <c r="G250" t="inlineStr">
        <is>
          <t>MOTALA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44592</v>
      </c>
      <c r="E251" s="1" t="n">
        <v>46260</v>
      </c>
      <c r="F251" t="inlineStr">
        <is>
          <t>ÖSTERGÖTLANDS LÄN</t>
        </is>
      </c>
      <c r="G251" t="inlineStr">
        <is>
          <t>MOTALA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46260</v>
      </c>
      <c r="F252" t="inlineStr">
        <is>
          <t>ÖSTERGÖTLANDS LÄN</t>
        </is>
      </c>
      <c r="G252" t="inlineStr">
        <is>
          <t>MOTALA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46260</v>
      </c>
      <c r="F253" t="inlineStr">
        <is>
          <t>ÖSTERGÖTLANDS LÄN</t>
        </is>
      </c>
      <c r="G253" t="inlineStr">
        <is>
          <t>MOTALA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58385-2025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45985</v>
      </c>
      <c r="E254" s="1" t="n">
        <v>46260</v>
      </c>
      <c r="F254" t="inlineStr">
        <is>
          <t>ÖSTERGÖTLANDS LÄN</t>
        </is>
      </c>
      <c r="G254" t="inlineStr">
        <is>
          <t>MOTALA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45621</v>
      </c>
      <c r="E255" s="1" t="n">
        <v>46260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46260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46260</v>
      </c>
      <c r="F257" t="inlineStr">
        <is>
          <t>ÖSTERGÖTLANDS LÄN</t>
        </is>
      </c>
      <c r="G257" t="inlineStr">
        <is>
          <t>MOTALA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46260</v>
      </c>
      <c r="F258" t="inlineStr">
        <is>
          <t>ÖSTERGÖTLANDS LÄN</t>
        </is>
      </c>
      <c r="G258" t="inlineStr">
        <is>
          <t>MOTALA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46260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46260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44776</v>
      </c>
      <c r="E261" s="1" t="n">
        <v>46260</v>
      </c>
      <c r="F261" t="inlineStr">
        <is>
          <t>ÖSTERGÖTLANDS LÄN</t>
        </is>
      </c>
      <c r="G261" t="inlineStr">
        <is>
          <t>MOTALA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46260</v>
      </c>
      <c r="F262" t="inlineStr">
        <is>
          <t>ÖSTERGÖTLANDS LÄN</t>
        </is>
      </c>
      <c r="G262" t="inlineStr">
        <is>
          <t>MOTALA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45351</v>
      </c>
      <c r="E263" s="1" t="n">
        <v>46260</v>
      </c>
      <c r="F263" t="inlineStr">
        <is>
          <t>ÖSTERGÖTLANDS LÄN</t>
        </is>
      </c>
      <c r="G263" t="inlineStr">
        <is>
          <t>MOTALA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46260</v>
      </c>
      <c r="F264" t="inlineStr">
        <is>
          <t>ÖSTERGÖTLANDS LÄN</t>
        </is>
      </c>
      <c r="G264" t="inlineStr">
        <is>
          <t>MOTALA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46260</v>
      </c>
      <c r="F265" t="inlineStr">
        <is>
          <t>ÖSTERGÖTLANDS LÄN</t>
        </is>
      </c>
      <c r="G265" t="inlineStr">
        <is>
          <t>MOTALA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46260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46260</v>
      </c>
      <c r="F267" t="inlineStr">
        <is>
          <t>ÖSTERGÖTLANDS LÄN</t>
        </is>
      </c>
      <c r="G267" t="inlineStr">
        <is>
          <t>MOTALA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46260</v>
      </c>
      <c r="F268" t="inlineStr">
        <is>
          <t>ÖSTERGÖTLANDS LÄN</t>
        </is>
      </c>
      <c r="G268" t="inlineStr">
        <is>
          <t>MOTALA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45069</v>
      </c>
      <c r="E269" s="1" t="n">
        <v>46260</v>
      </c>
      <c r="F269" t="inlineStr">
        <is>
          <t>ÖSTERGÖTLANDS LÄN</t>
        </is>
      </c>
      <c r="G269" t="inlineStr">
        <is>
          <t>MOTALA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45998</v>
      </c>
      <c r="E270" s="1" t="n">
        <v>46260</v>
      </c>
      <c r="F270" t="inlineStr">
        <is>
          <t>ÖSTERGÖTLANDS LÄN</t>
        </is>
      </c>
      <c r="G270" t="inlineStr">
        <is>
          <t>MOTALA</t>
        </is>
      </c>
      <c r="I270" t="n">
        <v>15.9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46260</v>
      </c>
      <c r="F271" t="inlineStr">
        <is>
          <t>ÖSTERGÖTLANDS LÄN</t>
        </is>
      </c>
      <c r="G271" t="inlineStr">
        <is>
          <t>MOTALA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45615</v>
      </c>
      <c r="E272" s="1" t="n">
        <v>46260</v>
      </c>
      <c r="F272" t="inlineStr">
        <is>
          <t>ÖSTERGÖTLANDS LÄN</t>
        </is>
      </c>
      <c r="G272" t="inlineStr">
        <is>
          <t>MOTALA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46260</v>
      </c>
      <c r="F273" t="inlineStr">
        <is>
          <t>ÖSTERGÖTLANDS LÄN</t>
        </is>
      </c>
      <c r="G273" t="inlineStr">
        <is>
          <t>MOTALA</t>
        </is>
      </c>
      <c r="H273" t="inlineStr">
        <is>
          <t>Övriga statliga verk och myndigheter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46260</v>
      </c>
      <c r="F274" t="inlineStr">
        <is>
          <t>ÖSTERGÖTLANDS LÄN</t>
        </is>
      </c>
      <c r="G274" t="inlineStr">
        <is>
          <t>MOTALA</t>
        </is>
      </c>
      <c r="H274" t="inlineStr">
        <is>
          <t>Övriga statliga verk och myndigheter</t>
        </is>
      </c>
      <c r="I274" t="n">
        <v>12.2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46260</v>
      </c>
      <c r="F275" t="inlineStr">
        <is>
          <t>ÖSTERGÖTLANDS LÄN</t>
        </is>
      </c>
      <c r="G275" t="inlineStr">
        <is>
          <t>MOTALA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46260</v>
      </c>
      <c r="F276" t="inlineStr">
        <is>
          <t>ÖSTERGÖTLANDS LÄN</t>
        </is>
      </c>
      <c r="G276" t="inlineStr">
        <is>
          <t>MOTALA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71205-2021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44539</v>
      </c>
      <c r="E277" s="1" t="n">
        <v>46260</v>
      </c>
      <c r="F277" t="inlineStr">
        <is>
          <t>ÖSTERGÖTLANDS LÄN</t>
        </is>
      </c>
      <c r="G277" t="inlineStr">
        <is>
          <t>MOTALA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20815-2026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46141</v>
      </c>
      <c r="E278" s="1" t="n">
        <v>46260</v>
      </c>
      <c r="F278" t="inlineStr">
        <is>
          <t>ÖSTERGÖTLANDS LÄN</t>
        </is>
      </c>
      <c r="G278" t="inlineStr">
        <is>
          <t>MOTALA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44748</v>
      </c>
      <c r="E279" s="1" t="n">
        <v>46260</v>
      </c>
      <c r="F279" t="inlineStr">
        <is>
          <t>ÖSTERGÖTLANDS LÄN</t>
        </is>
      </c>
      <c r="G279" t="inlineStr">
        <is>
          <t>MOTALA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44942</v>
      </c>
      <c r="E280" s="1" t="n">
        <v>46260</v>
      </c>
      <c r="F280" t="inlineStr">
        <is>
          <t>ÖSTERGÖTLANDS LÄN</t>
        </is>
      </c>
      <c r="G280" t="inlineStr">
        <is>
          <t>MOTALA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45425</v>
      </c>
      <c r="E281" s="1" t="n">
        <v>46260</v>
      </c>
      <c r="F281" t="inlineStr">
        <is>
          <t>ÖSTERGÖTLANDS LÄN</t>
        </is>
      </c>
      <c r="G281" t="inlineStr">
        <is>
          <t>MOTALA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46260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20.4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44725</v>
      </c>
      <c r="E283" s="1" t="n">
        <v>46260</v>
      </c>
      <c r="F283" t="inlineStr">
        <is>
          <t>ÖSTERGÖTLANDS LÄN</t>
        </is>
      </c>
      <c r="G283" t="inlineStr">
        <is>
          <t>MOTALA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46260</v>
      </c>
      <c r="F284" t="inlineStr">
        <is>
          <t>ÖSTERGÖTLANDS LÄN</t>
        </is>
      </c>
      <c r="G284" t="inlineStr">
        <is>
          <t>MOTALA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46260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46260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45427</v>
      </c>
      <c r="E287" s="1" t="n">
        <v>46260</v>
      </c>
      <c r="F287" t="inlineStr">
        <is>
          <t>ÖSTERGÖTLANDS LÄN</t>
        </is>
      </c>
      <c r="G287" t="inlineStr">
        <is>
          <t>MOTALA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46260</v>
      </c>
      <c r="F288" t="inlineStr">
        <is>
          <t>ÖSTERGÖTLANDS LÄN</t>
        </is>
      </c>
      <c r="G288" t="inlineStr">
        <is>
          <t>MOTALA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46260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27896-2025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45817</v>
      </c>
      <c r="E290" s="1" t="n">
        <v>46260</v>
      </c>
      <c r="F290" t="inlineStr">
        <is>
          <t>ÖSTERGÖTLANDS LÄN</t>
        </is>
      </c>
      <c r="G290" t="inlineStr">
        <is>
          <t>MOTALA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46260</v>
      </c>
      <c r="F291" t="inlineStr">
        <is>
          <t>ÖSTERGÖTLANDS LÄN</t>
        </is>
      </c>
      <c r="G291" t="inlineStr">
        <is>
          <t>MOTALA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46260</v>
      </c>
      <c r="F292" t="inlineStr">
        <is>
          <t>ÖSTERGÖTLANDS LÄN</t>
        </is>
      </c>
      <c r="G292" t="inlineStr">
        <is>
          <t>MOTALA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46260</v>
      </c>
      <c r="F293" t="inlineStr">
        <is>
          <t>ÖSTERGÖTLANDS LÄN</t>
        </is>
      </c>
      <c r="G293" t="inlineStr">
        <is>
          <t>MOTALA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65566-2021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44516</v>
      </c>
      <c r="E294" s="1" t="n">
        <v>46260</v>
      </c>
      <c r="F294" t="inlineStr">
        <is>
          <t>ÖSTERGÖTLANDS LÄN</t>
        </is>
      </c>
      <c r="G294" t="inlineStr">
        <is>
          <t>MOTALA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46260</v>
      </c>
      <c r="F295" t="inlineStr">
        <is>
          <t>ÖSTERGÖTLANDS LÄN</t>
        </is>
      </c>
      <c r="G295" t="inlineStr">
        <is>
          <t>MOTALA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46260</v>
      </c>
      <c r="F296" t="inlineStr">
        <is>
          <t>ÖSTERGÖTLANDS LÄN</t>
        </is>
      </c>
      <c r="G296" t="inlineStr">
        <is>
          <t>MOTALA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46158</v>
      </c>
      <c r="E297" s="1" t="n">
        <v>46260</v>
      </c>
      <c r="F297" t="inlineStr">
        <is>
          <t>ÖSTERGÖTLANDS LÄN</t>
        </is>
      </c>
      <c r="G297" t="inlineStr">
        <is>
          <t>MOTALA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44861-2024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46260</v>
      </c>
      <c r="F298" t="inlineStr">
        <is>
          <t>ÖSTERGÖTLANDS LÄN</t>
        </is>
      </c>
      <c r="G298" t="inlineStr">
        <is>
          <t>MOTALA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46160</v>
      </c>
      <c r="E299" s="1" t="n">
        <v>46260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46260</v>
      </c>
      <c r="F300" t="inlineStr">
        <is>
          <t>ÖSTERGÖTLANDS LÄN</t>
        </is>
      </c>
      <c r="G300" t="inlineStr">
        <is>
          <t>MOTALA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22831-2026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46160</v>
      </c>
      <c r="E301" s="1" t="n">
        <v>46260</v>
      </c>
      <c r="F301" t="inlineStr">
        <is>
          <t>ÖSTERGÖTLANDS LÄN</t>
        </is>
      </c>
      <c r="G301" t="inlineStr">
        <is>
          <t>MOTALA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22921-2026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46160</v>
      </c>
      <c r="E302" s="1" t="n">
        <v>46260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46260</v>
      </c>
      <c r="F303" t="inlineStr">
        <is>
          <t>ÖSTERGÖTLANDS LÄN</t>
        </is>
      </c>
      <c r="G303" t="inlineStr">
        <is>
          <t>MOTALA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46260</v>
      </c>
      <c r="F304" t="inlineStr">
        <is>
          <t>ÖSTERGÖTLANDS LÄN</t>
        </is>
      </c>
      <c r="G304" t="inlineStr">
        <is>
          <t>MOTALA</t>
        </is>
      </c>
      <c r="H304" t="inlineStr">
        <is>
          <t>Holmen skog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45205</v>
      </c>
      <c r="E305" s="1" t="n">
        <v>46260</v>
      </c>
      <c r="F305" t="inlineStr">
        <is>
          <t>ÖSTERGÖTLANDS LÄN</t>
        </is>
      </c>
      <c r="G305" t="inlineStr">
        <is>
          <t>MOTALA</t>
        </is>
      </c>
      <c r="H305" t="inlineStr">
        <is>
          <t>Övriga statliga verk och myndigheter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44676</v>
      </c>
      <c r="E306" s="1" t="n">
        <v>46260</v>
      </c>
      <c r="F306" t="inlineStr">
        <is>
          <t>ÖSTERGÖTLANDS LÄN</t>
        </is>
      </c>
      <c r="G306" t="inlineStr">
        <is>
          <t>MOTALA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44613</v>
      </c>
      <c r="E307" s="1" t="n">
        <v>46260</v>
      </c>
      <c r="F307" t="inlineStr">
        <is>
          <t>ÖSTERGÖTLANDS LÄN</t>
        </is>
      </c>
      <c r="G307" t="inlineStr">
        <is>
          <t>MOTALA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46260</v>
      </c>
      <c r="F308" t="inlineStr">
        <is>
          <t>ÖSTERGÖTLANDS LÄN</t>
        </is>
      </c>
      <c r="G308" t="inlineStr">
        <is>
          <t>MOTALA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45294</v>
      </c>
      <c r="E309" s="1" t="n">
        <v>46260</v>
      </c>
      <c r="F309" t="inlineStr">
        <is>
          <t>ÖSTERGÖTLANDS LÄN</t>
        </is>
      </c>
      <c r="G309" t="inlineStr">
        <is>
          <t>MOTALA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46260</v>
      </c>
      <c r="F310" t="inlineStr">
        <is>
          <t>ÖSTERGÖTLANDS LÄN</t>
        </is>
      </c>
      <c r="G310" t="inlineStr">
        <is>
          <t>MOTALA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46260</v>
      </c>
      <c r="F311" t="inlineStr">
        <is>
          <t>ÖSTERGÖTLANDS LÄN</t>
        </is>
      </c>
      <c r="G311" t="inlineStr">
        <is>
          <t>MOTALA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46260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46260</v>
      </c>
      <c r="F313" t="inlineStr">
        <is>
          <t>ÖSTERGÖTLANDS LÄN</t>
        </is>
      </c>
      <c r="G313" t="inlineStr">
        <is>
          <t>MOTALA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46260</v>
      </c>
      <c r="F314" t="inlineStr">
        <is>
          <t>ÖSTERGÖTLANDS LÄN</t>
        </is>
      </c>
      <c r="G314" t="inlineStr">
        <is>
          <t>MOTALA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46260</v>
      </c>
      <c r="F315" t="inlineStr">
        <is>
          <t>ÖSTERGÖTLANDS LÄN</t>
        </is>
      </c>
      <c r="G315" t="inlineStr">
        <is>
          <t>MOTALA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46260</v>
      </c>
      <c r="F316" t="inlineStr">
        <is>
          <t>ÖSTERGÖTLANDS LÄN</t>
        </is>
      </c>
      <c r="G316" t="inlineStr">
        <is>
          <t>MOTALA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46260</v>
      </c>
      <c r="F317" t="inlineStr">
        <is>
          <t>ÖSTERGÖTLANDS LÄN</t>
        </is>
      </c>
      <c r="G317" t="inlineStr">
        <is>
          <t>MOTALA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46260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46260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46260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46260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45602</v>
      </c>
      <c r="E322" s="1" t="n">
        <v>46260</v>
      </c>
      <c r="F322" t="inlineStr">
        <is>
          <t>ÖSTERGÖTLANDS LÄN</t>
        </is>
      </c>
      <c r="G322" t="inlineStr">
        <is>
          <t>MOTALA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46260</v>
      </c>
      <c r="F323" t="inlineStr">
        <is>
          <t>ÖSTERGÖTLANDS LÄN</t>
        </is>
      </c>
      <c r="G323" t="inlineStr">
        <is>
          <t>MOTALA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46260</v>
      </c>
      <c r="F324" t="inlineStr">
        <is>
          <t>ÖSTERGÖTLANDS LÄN</t>
        </is>
      </c>
      <c r="G324" t="inlineStr">
        <is>
          <t>MOTALA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46260</v>
      </c>
      <c r="F325" t="inlineStr">
        <is>
          <t>ÖSTERGÖTLANDS LÄN</t>
        </is>
      </c>
      <c r="G325" t="inlineStr">
        <is>
          <t>MOTALA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46260</v>
      </c>
      <c r="F326" t="inlineStr">
        <is>
          <t>ÖSTERGÖTLANDS LÄN</t>
        </is>
      </c>
      <c r="G326" t="inlineStr">
        <is>
          <t>MOTALA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52302-2023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45224</v>
      </c>
      <c r="E327" s="1" t="n">
        <v>46260</v>
      </c>
      <c r="F327" t="inlineStr">
        <is>
          <t>ÖSTERGÖTLANDS LÄN</t>
        </is>
      </c>
      <c r="G327" t="inlineStr">
        <is>
          <t>MOTALA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46260</v>
      </c>
      <c r="F328" t="inlineStr">
        <is>
          <t>ÖSTERGÖTLANDS LÄN</t>
        </is>
      </c>
      <c r="G328" t="inlineStr">
        <is>
          <t>MOTALA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46260</v>
      </c>
      <c r="F329" t="inlineStr">
        <is>
          <t>ÖSTERGÖTLANDS LÄN</t>
        </is>
      </c>
      <c r="G329" t="inlineStr">
        <is>
          <t>MOTALA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42137-2024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46260</v>
      </c>
      <c r="F330" t="inlineStr">
        <is>
          <t>ÖSTERGÖTLANDS LÄN</t>
        </is>
      </c>
      <c r="G330" t="inlineStr">
        <is>
          <t>MOTALA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44868-2024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45575</v>
      </c>
      <c r="E331" s="1" t="n">
        <v>46260</v>
      </c>
      <c r="F331" t="inlineStr">
        <is>
          <t>ÖSTERGÖTLANDS LÄN</t>
        </is>
      </c>
      <c r="G331" t="inlineStr">
        <is>
          <t>MOTALA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46260</v>
      </c>
      <c r="F332" t="inlineStr">
        <is>
          <t>ÖSTERGÖTLANDS LÄN</t>
        </is>
      </c>
      <c r="G332" t="inlineStr">
        <is>
          <t>MOTALA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46218</v>
      </c>
      <c r="E333" s="1" t="n">
        <v>46260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46218</v>
      </c>
      <c r="E334" s="1" t="n">
        <v>46260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46218</v>
      </c>
      <c r="E335" s="1" t="n">
        <v>46260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46260</v>
      </c>
      <c r="F336" t="inlineStr">
        <is>
          <t>ÖSTERGÖTLANDS LÄN</t>
        </is>
      </c>
      <c r="G336" t="inlineStr">
        <is>
          <t>MOTALA</t>
        </is>
      </c>
      <c r="H336" t="inlineStr">
        <is>
          <t>Övriga statliga verk och myndigheter</t>
        </is>
      </c>
      <c r="I336" t="n">
        <v>11.3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46260</v>
      </c>
      <c r="F337" t="inlineStr">
        <is>
          <t>ÖSTERGÖTLANDS LÄN</t>
        </is>
      </c>
      <c r="G337" t="inlineStr">
        <is>
          <t>MOTALA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64175-2023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45279</v>
      </c>
      <c r="E338" s="1" t="n">
        <v>46260</v>
      </c>
      <c r="F338" t="inlineStr">
        <is>
          <t>ÖSTERGÖTLANDS LÄN</t>
        </is>
      </c>
      <c r="G338" t="inlineStr">
        <is>
          <t>MOTALA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44942</v>
      </c>
      <c r="E339" s="1" t="n">
        <v>46260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46260</v>
      </c>
      <c r="F340" t="inlineStr">
        <is>
          <t>ÖSTERGÖTLANDS LÄN</t>
        </is>
      </c>
      <c r="G340" t="inlineStr">
        <is>
          <t>MOTALA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40528-2022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44819</v>
      </c>
      <c r="E341" s="1" t="n">
        <v>46260</v>
      </c>
      <c r="F341" t="inlineStr">
        <is>
          <t>ÖSTERGÖTLANDS LÄN</t>
        </is>
      </c>
      <c r="G341" t="inlineStr">
        <is>
          <t>MOTALA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49627-2021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44455</v>
      </c>
      <c r="E342" s="1" t="n">
        <v>46260</v>
      </c>
      <c r="F342" t="inlineStr">
        <is>
          <t>ÖSTERGÖTLANDS LÄN</t>
        </is>
      </c>
      <c r="G342" t="inlineStr">
        <is>
          <t>MOTALA</t>
        </is>
      </c>
      <c r="I342" t="n">
        <v>14.2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45439</v>
      </c>
      <c r="E343" s="1" t="n">
        <v>46260</v>
      </c>
      <c r="F343" t="inlineStr">
        <is>
          <t>ÖSTERGÖTLANDS LÄN</t>
        </is>
      </c>
      <c r="G343" t="inlineStr">
        <is>
          <t>MOTALA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46260</v>
      </c>
      <c r="F344" t="inlineStr">
        <is>
          <t>ÖSTERGÖTLANDS LÄN</t>
        </is>
      </c>
      <c r="G344" t="inlineStr">
        <is>
          <t>MOTALA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46260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46260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27694-2026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46260</v>
      </c>
      <c r="F347" t="inlineStr">
        <is>
          <t>ÖSTERGÖTLANDS LÄN</t>
        </is>
      </c>
      <c r="G347" t="inlineStr">
        <is>
          <t>MOTALA</t>
        </is>
      </c>
      <c r="H347" t="inlineStr">
        <is>
          <t>Allmännings- och besparingsskogar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46260</v>
      </c>
      <c r="F348" t="inlineStr">
        <is>
          <t>ÖSTERGÖTLANDS LÄN</t>
        </is>
      </c>
      <c r="G348" t="inlineStr">
        <is>
          <t>MOTALA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45562</v>
      </c>
      <c r="E349" s="1" t="n">
        <v>46260</v>
      </c>
      <c r="F349" t="inlineStr">
        <is>
          <t>ÖSTERGÖTLANDS LÄN</t>
        </is>
      </c>
      <c r="G349" t="inlineStr">
        <is>
          <t>MOTALA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23757-2025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45793</v>
      </c>
      <c r="E350" s="1" t="n">
        <v>46260</v>
      </c>
      <c r="F350" t="inlineStr">
        <is>
          <t>ÖSTERGÖTLANDS LÄN</t>
        </is>
      </c>
      <c r="G350" t="inlineStr">
        <is>
          <t>MOTALA</t>
        </is>
      </c>
      <c r="H350" t="inlineStr">
        <is>
          <t>Allmännings- och besparingsskogar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62556-2021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46260</v>
      </c>
      <c r="F351" t="inlineStr">
        <is>
          <t>ÖSTERGÖTLANDS LÄN</t>
        </is>
      </c>
      <c r="G351" t="inlineStr">
        <is>
          <t>MOTALA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45034</v>
      </c>
      <c r="E352" s="1" t="n">
        <v>46260</v>
      </c>
      <c r="F352" t="inlineStr">
        <is>
          <t>ÖSTERGÖTLANDS LÄN</t>
        </is>
      </c>
      <c r="G352" t="inlineStr">
        <is>
          <t>MOTALA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46260</v>
      </c>
      <c r="F353" t="inlineStr">
        <is>
          <t>ÖSTERGÖTLANDS LÄN</t>
        </is>
      </c>
      <c r="G353" t="inlineStr">
        <is>
          <t>MOTALA</t>
        </is>
      </c>
      <c r="H353" t="inlineStr">
        <is>
          <t>Allmännings- och besparingsskogar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46260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46260</v>
      </c>
      <c r="F355" t="inlineStr">
        <is>
          <t>ÖSTERGÖTLANDS LÄN</t>
        </is>
      </c>
      <c r="G355" t="inlineStr">
        <is>
          <t>MOTALA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46239</v>
      </c>
      <c r="E356" s="1" t="n">
        <v>46260</v>
      </c>
      <c r="F356" t="inlineStr">
        <is>
          <t>ÖSTERGÖTLANDS LÄN</t>
        </is>
      </c>
      <c r="G356" t="inlineStr">
        <is>
          <t>MOTALA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21527-2023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45061</v>
      </c>
      <c r="E357" s="1" t="n">
        <v>46260</v>
      </c>
      <c r="F357" t="inlineStr">
        <is>
          <t>ÖSTERGÖTLANDS LÄN</t>
        </is>
      </c>
      <c r="G357" t="inlineStr">
        <is>
          <t>MOTALA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46260</v>
      </c>
      <c r="F358" t="inlineStr">
        <is>
          <t>ÖSTERGÖTLANDS LÄN</t>
        </is>
      </c>
      <c r="G358" t="inlineStr">
        <is>
          <t>MOTALA</t>
        </is>
      </c>
      <c r="H358" t="inlineStr">
        <is>
          <t>Allmännings- och besparingsskogar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46260</v>
      </c>
      <c r="F359" t="inlineStr">
        <is>
          <t>ÖSTERGÖTLANDS LÄN</t>
        </is>
      </c>
      <c r="G359" t="inlineStr">
        <is>
          <t>MOTALA</t>
        </is>
      </c>
      <c r="H359" t="inlineStr">
        <is>
          <t>Allmännings- och besparingsskogar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46260</v>
      </c>
      <c r="F360" t="inlineStr">
        <is>
          <t>ÖSTERGÖTLANDS LÄN</t>
        </is>
      </c>
      <c r="G360" t="inlineStr">
        <is>
          <t>MOTALA</t>
        </is>
      </c>
      <c r="H360" t="inlineStr">
        <is>
          <t>Allmännings- och besparingsskogar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46260</v>
      </c>
      <c r="F361" t="inlineStr">
        <is>
          <t>ÖSTERGÖTLANDS LÄN</t>
        </is>
      </c>
      <c r="G361" t="inlineStr">
        <is>
          <t>MOTALA</t>
        </is>
      </c>
      <c r="H361" t="inlineStr">
        <is>
          <t>Allmännings- och besparingsskogar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46260</v>
      </c>
      <c r="F362" t="inlineStr">
        <is>
          <t>ÖSTERGÖTLANDS LÄN</t>
        </is>
      </c>
      <c r="G362" t="inlineStr">
        <is>
          <t>MOTALA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46260</v>
      </c>
      <c r="F363" t="inlineStr">
        <is>
          <t>ÖSTERGÖTLANDS LÄN</t>
        </is>
      </c>
      <c r="G363" t="inlineStr">
        <is>
          <t>MOTALA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45351</v>
      </c>
      <c r="E364" s="1" t="n">
        <v>46260</v>
      </c>
      <c r="F364" t="inlineStr">
        <is>
          <t>ÖSTERGÖTLANDS LÄN</t>
        </is>
      </c>
      <c r="G364" t="inlineStr">
        <is>
          <t>MOTALA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45473</v>
      </c>
      <c r="E365" s="1" t="n">
        <v>46260</v>
      </c>
      <c r="F365" t="inlineStr">
        <is>
          <t>ÖSTERGÖTLANDS LÄN</t>
        </is>
      </c>
      <c r="G365" t="inlineStr">
        <is>
          <t>MOTALA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46260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46260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46260</v>
      </c>
      <c r="F368" t="inlineStr">
        <is>
          <t>ÖSTERGÖTLANDS LÄN</t>
        </is>
      </c>
      <c r="G368" t="inlineStr">
        <is>
          <t>MOTALA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46260</v>
      </c>
      <c r="F369" t="inlineStr">
        <is>
          <t>ÖSTERGÖTLANDS LÄN</t>
        </is>
      </c>
      <c r="G369" t="inlineStr">
        <is>
          <t>MOTALA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46243</v>
      </c>
      <c r="E370" s="1" t="n">
        <v>46260</v>
      </c>
      <c r="F370" t="inlineStr">
        <is>
          <t>ÖSTERGÖTLANDS LÄN</t>
        </is>
      </c>
      <c r="G370" t="inlineStr">
        <is>
          <t>MOTALA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45427</v>
      </c>
      <c r="E371" s="1" t="n">
        <v>46260</v>
      </c>
      <c r="F371" t="inlineStr">
        <is>
          <t>ÖSTERGÖTLANDS LÄN</t>
        </is>
      </c>
      <c r="G371" t="inlineStr">
        <is>
          <t>MOTALA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21204-2024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45440</v>
      </c>
      <c r="E372" s="1" t="n">
        <v>46260</v>
      </c>
      <c r="F372" t="inlineStr">
        <is>
          <t>ÖSTERGÖTLANDS LÄN</t>
        </is>
      </c>
      <c r="G372" t="inlineStr">
        <is>
          <t>MOTALA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46066</v>
      </c>
      <c r="E373" s="1" t="n">
        <v>46260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12274-2022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46260</v>
      </c>
      <c r="F374" t="inlineStr">
        <is>
          <t>ÖSTERGÖTLANDS LÄN</t>
        </is>
      </c>
      <c r="G374" t="inlineStr">
        <is>
          <t>MOTALA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12091-2023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44998</v>
      </c>
      <c r="E375" s="1" t="n">
        <v>46260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29736-2026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46204</v>
      </c>
      <c r="E376" s="1" t="n">
        <v>46260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46260</v>
      </c>
      <c r="F377" t="inlineStr">
        <is>
          <t>ÖSTERGÖTLANDS LÄN</t>
        </is>
      </c>
      <c r="G377" t="inlineStr">
        <is>
          <t>MOTALA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7925-2022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44608</v>
      </c>
      <c r="E378" s="1" t="n">
        <v>46260</v>
      </c>
      <c r="F378" t="inlineStr">
        <is>
          <t>ÖSTERGÖTLANDS LÄN</t>
        </is>
      </c>
      <c r="G378" t="inlineStr">
        <is>
          <t>MOTALA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44608</v>
      </c>
      <c r="E379" s="1" t="n">
        <v>46260</v>
      </c>
      <c r="F379" t="inlineStr">
        <is>
          <t>ÖSTERGÖTLANDS LÄN</t>
        </is>
      </c>
      <c r="G379" t="inlineStr">
        <is>
          <t>MOTALA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47875-2021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44448</v>
      </c>
      <c r="E380" s="1" t="n">
        <v>46260</v>
      </c>
      <c r="F380" t="inlineStr">
        <is>
          <t>ÖSTERGÖTLANDS LÄN</t>
        </is>
      </c>
      <c r="G380" t="inlineStr">
        <is>
          <t>MOTALA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45378</v>
      </c>
      <c r="E381" s="1" t="n">
        <v>46260</v>
      </c>
      <c r="F381" t="inlineStr">
        <is>
          <t>ÖSTERGÖTLANDS LÄN</t>
        </is>
      </c>
      <c r="G381" t="inlineStr">
        <is>
          <t>MOTALA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24254-2022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44725</v>
      </c>
      <c r="E382" s="1" t="n">
        <v>46260</v>
      </c>
      <c r="F382" t="inlineStr">
        <is>
          <t>ÖSTERGÖTLANDS LÄN</t>
        </is>
      </c>
      <c r="G382" t="inlineStr">
        <is>
          <t>MOTALA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10324-2023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44987</v>
      </c>
      <c r="E383" s="1" t="n">
        <v>46260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46260</v>
      </c>
      <c r="F384" t="inlineStr">
        <is>
          <t>ÖSTERGÖTLANDS LÄN</t>
        </is>
      </c>
      <c r="G384" t="inlineStr">
        <is>
          <t>MOTALA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46260</v>
      </c>
      <c r="F385" t="inlineStr">
        <is>
          <t>ÖSTERGÖTLANDS LÄN</t>
        </is>
      </c>
      <c r="G385" t="inlineStr">
        <is>
          <t>MOTALA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46260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45377</v>
      </c>
      <c r="E387" s="1" t="n">
        <v>46260</v>
      </c>
      <c r="F387" t="inlineStr">
        <is>
          <t>ÖSTERGÖTLANDS LÄN</t>
        </is>
      </c>
      <c r="G387" t="inlineStr">
        <is>
          <t>MOTALA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27418-2022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46260</v>
      </c>
      <c r="F388" t="inlineStr">
        <is>
          <t>ÖSTERGÖTLANDS LÄN</t>
        </is>
      </c>
      <c r="G388" t="inlineStr">
        <is>
          <t>MOTALA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46255</v>
      </c>
      <c r="E389" s="1" t="n">
        <v>46260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46260</v>
      </c>
      <c r="F390" t="inlineStr">
        <is>
          <t>ÖSTERGÖTLANDS LÄN</t>
        </is>
      </c>
      <c r="G390" t="inlineStr">
        <is>
          <t>MOTALA</t>
        </is>
      </c>
      <c r="H390" t="inlineStr">
        <is>
          <t>Övriga statliga verk och myndigheter</t>
        </is>
      </c>
      <c r="I390" t="n">
        <v>25.1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46260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46260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46260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46260</v>
      </c>
      <c r="F394" t="inlineStr">
        <is>
          <t>ÖSTERGÖTLANDS LÄN</t>
        </is>
      </c>
      <c r="G394" t="inlineStr">
        <is>
          <t>MOTALA</t>
        </is>
      </c>
      <c r="H394" t="inlineStr">
        <is>
          <t>Övriga statliga verk och myndigheter</t>
        </is>
      </c>
      <c r="I394" t="n">
        <v>24.8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46260</v>
      </c>
      <c r="F395" t="inlineStr">
        <is>
          <t>ÖSTERGÖTLANDS LÄN</t>
        </is>
      </c>
      <c r="G395" t="inlineStr">
        <is>
          <t>MOTALA</t>
        </is>
      </c>
      <c r="H395" t="inlineStr">
        <is>
          <t>Kyrkan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44804</v>
      </c>
      <c r="E396" s="1" t="n">
        <v>46260</v>
      </c>
      <c r="F396" t="inlineStr">
        <is>
          <t>ÖSTERGÖTLANDS LÄN</t>
        </is>
      </c>
      <c r="G396" t="inlineStr">
        <is>
          <t>MOTALA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43905-2021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44434</v>
      </c>
      <c r="E397" s="1" t="n">
        <v>46260</v>
      </c>
      <c r="F397" t="inlineStr">
        <is>
          <t>ÖSTERGÖTLANDS LÄN</t>
        </is>
      </c>
      <c r="G397" t="inlineStr">
        <is>
          <t>MOTALA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45237</v>
      </c>
      <c r="E398" s="1" t="n">
        <v>46260</v>
      </c>
      <c r="F398" t="inlineStr">
        <is>
          <t>ÖSTERGÖTLANDS LÄN</t>
        </is>
      </c>
      <c r="G398" t="inlineStr">
        <is>
          <t>MOTALA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65561-2021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44516</v>
      </c>
      <c r="E399" s="1" t="n">
        <v>46260</v>
      </c>
      <c r="F399" t="inlineStr">
        <is>
          <t>ÖSTERGÖTLANDS LÄN</t>
        </is>
      </c>
      <c r="G399" t="inlineStr">
        <is>
          <t>MOTALA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32470-2022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44782</v>
      </c>
      <c r="E400" s="1" t="n">
        <v>46260</v>
      </c>
      <c r="F400" t="inlineStr">
        <is>
          <t>ÖSTERGÖTLANDS LÄN</t>
        </is>
      </c>
      <c r="G400" t="inlineStr">
        <is>
          <t>MOTALA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44573</v>
      </c>
      <c r="E401" s="1" t="n">
        <v>46260</v>
      </c>
      <c r="F401" t="inlineStr">
        <is>
          <t>ÖSTERGÖTLANDS LÄN</t>
        </is>
      </c>
      <c r="G401" t="inlineStr">
        <is>
          <t>MOTALA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12434-2023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44999</v>
      </c>
      <c r="E402" s="1" t="n">
        <v>46260</v>
      </c>
      <c r="F402" t="inlineStr">
        <is>
          <t>ÖSTERGÖTLANDS LÄN</t>
        </is>
      </c>
      <c r="G402" t="inlineStr">
        <is>
          <t>MOTALA</t>
        </is>
      </c>
      <c r="H402" t="inlineStr">
        <is>
          <t>Allmännings- och besparingsskogar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46260</v>
      </c>
      <c r="F403" t="inlineStr">
        <is>
          <t>ÖSTERGÖTLANDS LÄN</t>
        </is>
      </c>
      <c r="G403" t="inlineStr">
        <is>
          <t>MOTALA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46681-2021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44445</v>
      </c>
      <c r="E404" s="1" t="n">
        <v>46260</v>
      </c>
      <c r="F404" t="inlineStr">
        <is>
          <t>ÖSTERGÖTLANDS LÄN</t>
        </is>
      </c>
      <c r="G404" t="inlineStr">
        <is>
          <t>MOTALA</t>
        </is>
      </c>
      <c r="H404" t="inlineStr">
        <is>
          <t>Övriga statliga verk och myndigheter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44894</v>
      </c>
      <c r="E405" s="1" t="n">
        <v>46260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45476</v>
      </c>
      <c r="E406" s="1" t="n">
        <v>46260</v>
      </c>
      <c r="F406" t="inlineStr">
        <is>
          <t>ÖSTERGÖTLANDS LÄN</t>
        </is>
      </c>
      <c r="G406" t="inlineStr">
        <is>
          <t>MOTALA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58344-2022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44893</v>
      </c>
      <c r="E407" s="1" t="n">
        <v>46260</v>
      </c>
      <c r="F407" t="inlineStr">
        <is>
          <t>ÖSTERGÖTLANDS LÄN</t>
        </is>
      </c>
      <c r="G407" t="inlineStr">
        <is>
          <t>MOTALA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16586-2023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45030</v>
      </c>
      <c r="E408" s="1" t="n">
        <v>46260</v>
      </c>
      <c r="F408" t="inlineStr">
        <is>
          <t>ÖSTERGÖTLANDS LÄN</t>
        </is>
      </c>
      <c r="G408" t="inlineStr">
        <is>
          <t>MOTALA</t>
        </is>
      </c>
      <c r="H408" t="inlineStr">
        <is>
          <t>Kyrkan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44641</v>
      </c>
      <c r="E409" s="1" t="n">
        <v>46260</v>
      </c>
      <c r="F409" t="inlineStr">
        <is>
          <t>ÖSTERGÖTLANDS LÄN</t>
        </is>
      </c>
      <c r="G409" t="inlineStr">
        <is>
          <t>MOTALA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60029-2021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44494</v>
      </c>
      <c r="E410" s="1" t="n">
        <v>46260</v>
      </c>
      <c r="F410" t="inlineStr">
        <is>
          <t>ÖSTERGÖTLANDS LÄN</t>
        </is>
      </c>
      <c r="G410" t="inlineStr">
        <is>
          <t>MOTALA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46260</v>
      </c>
      <c r="F411" t="inlineStr">
        <is>
          <t>ÖSTERGÖTLANDS LÄN</t>
        </is>
      </c>
      <c r="G411" t="inlineStr">
        <is>
          <t>MOTALA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46260</v>
      </c>
      <c r="F412" t="inlineStr">
        <is>
          <t>ÖSTERGÖTLANDS LÄN</t>
        </is>
      </c>
      <c r="G412" t="inlineStr">
        <is>
          <t>MOTALA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44679</v>
      </c>
      <c r="E413" s="1" t="n">
        <v>46260</v>
      </c>
      <c r="F413" t="inlineStr">
        <is>
          <t>ÖSTERGÖTLANDS LÄN</t>
        </is>
      </c>
      <c r="G413" t="inlineStr">
        <is>
          <t>MOTALA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31744-2022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44776</v>
      </c>
      <c r="E414" s="1" t="n">
        <v>46260</v>
      </c>
      <c r="F414" t="inlineStr">
        <is>
          <t>ÖSTERGÖTLANDS LÄN</t>
        </is>
      </c>
      <c r="G414" t="inlineStr">
        <is>
          <t>MOTALA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45229</v>
      </c>
      <c r="E415" s="1" t="n">
        <v>46260</v>
      </c>
      <c r="F415" t="inlineStr">
        <is>
          <t>ÖSTERGÖTLANDS LÄN</t>
        </is>
      </c>
      <c r="G415" t="inlineStr">
        <is>
          <t>MOTALA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45204</v>
      </c>
      <c r="E416" s="1" t="n">
        <v>46260</v>
      </c>
      <c r="F416" t="inlineStr">
        <is>
          <t>ÖSTERGÖTLANDS LÄN</t>
        </is>
      </c>
      <c r="G416" t="inlineStr">
        <is>
          <t>MOTALA</t>
        </is>
      </c>
      <c r="H416" t="inlineStr">
        <is>
          <t>Allmännings- och besparingsskogar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51638-2023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46260</v>
      </c>
      <c r="F417" t="inlineStr">
        <is>
          <t>ÖSTERGÖTLANDS LÄN</t>
        </is>
      </c>
      <c r="G417" t="inlineStr">
        <is>
          <t>MOTALA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44725</v>
      </c>
      <c r="E418" s="1" t="n">
        <v>46260</v>
      </c>
      <c r="F418" t="inlineStr">
        <is>
          <t>ÖSTERGÖTLANDS LÄN</t>
        </is>
      </c>
      <c r="G418" t="inlineStr">
        <is>
          <t>MOTALA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40518-2022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44819</v>
      </c>
      <c r="E419" s="1" t="n">
        <v>46260</v>
      </c>
      <c r="F419" t="inlineStr">
        <is>
          <t>ÖSTERGÖTLANDS LÄN</t>
        </is>
      </c>
      <c r="G419" t="inlineStr">
        <is>
          <t>MOTALA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41937-2022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44830</v>
      </c>
      <c r="E420" s="1" t="n">
        <v>46260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41898-2022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44830</v>
      </c>
      <c r="E421" s="1" t="n">
        <v>46260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45329</v>
      </c>
      <c r="E422" s="1" t="n">
        <v>46260</v>
      </c>
      <c r="F422" t="inlineStr">
        <is>
          <t>ÖSTERGÖTLANDS LÄN</t>
        </is>
      </c>
      <c r="G422" t="inlineStr">
        <is>
          <t>MOTALA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44931</v>
      </c>
      <c r="E423" s="1" t="n">
        <v>46260</v>
      </c>
      <c r="F423" t="inlineStr">
        <is>
          <t>ÖSTERGÖTLANDS LÄN</t>
        </is>
      </c>
      <c r="G423" t="inlineStr">
        <is>
          <t>MOTALA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45343</v>
      </c>
      <c r="E424" s="1" t="n">
        <v>46260</v>
      </c>
      <c r="F424" t="inlineStr">
        <is>
          <t>ÖSTERGÖTLANDS LÄN</t>
        </is>
      </c>
      <c r="G424" t="inlineStr">
        <is>
          <t>MOTALA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45091</v>
      </c>
      <c r="E425" s="1" t="n">
        <v>46260</v>
      </c>
      <c r="F425" t="inlineStr">
        <is>
          <t>ÖSTERGÖTLANDS LÄN</t>
        </is>
      </c>
      <c r="G425" t="inlineStr">
        <is>
          <t>MOTALA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44907</v>
      </c>
      <c r="E426" s="1" t="n">
        <v>46260</v>
      </c>
      <c r="F426" t="inlineStr">
        <is>
          <t>ÖSTERGÖTLANDS LÄN</t>
        </is>
      </c>
      <c r="G426" t="inlineStr">
        <is>
          <t>MOTALA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46260</v>
      </c>
      <c r="F427" t="inlineStr">
        <is>
          <t>ÖSTERGÖTLANDS LÄN</t>
        </is>
      </c>
      <c r="G427" t="inlineStr">
        <is>
          <t>MOTALA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45781</v>
      </c>
      <c r="E428" s="1" t="n">
        <v>46260</v>
      </c>
      <c r="F428" t="inlineStr">
        <is>
          <t>ÖSTERGÖTLANDS LÄN</t>
        </is>
      </c>
      <c r="G428" t="inlineStr">
        <is>
          <t>MOTALA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45708</v>
      </c>
      <c r="E429" s="1" t="n">
        <v>46260</v>
      </c>
      <c r="F429" t="inlineStr">
        <is>
          <t>ÖSTERGÖTLANDS LÄN</t>
        </is>
      </c>
      <c r="G429" t="inlineStr">
        <is>
          <t>MOTALA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46260</v>
      </c>
      <c r="F430" t="inlineStr">
        <is>
          <t>ÖSTERGÖTLANDS LÄN</t>
        </is>
      </c>
      <c r="G430" t="inlineStr">
        <is>
          <t>MOTALA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46260</v>
      </c>
      <c r="F431" t="inlineStr">
        <is>
          <t>ÖSTERGÖTLANDS LÄN</t>
        </is>
      </c>
      <c r="G431" t="inlineStr">
        <is>
          <t>MOTALA</t>
        </is>
      </c>
      <c r="H431" t="inlineStr">
        <is>
          <t>Allmännings- och besparingsskogar</t>
        </is>
      </c>
      <c r="I431" t="n">
        <v>37.7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46260</v>
      </c>
      <c r="F432" t="inlineStr">
        <is>
          <t>ÖSTERGÖTLANDS LÄN</t>
        </is>
      </c>
      <c r="G432" t="inlineStr">
        <is>
          <t>MOTALA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48058-2024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45589</v>
      </c>
      <c r="E433" s="1" t="n">
        <v>46260</v>
      </c>
      <c r="F433" t="inlineStr">
        <is>
          <t>ÖSTERGÖTLANDS LÄN</t>
        </is>
      </c>
      <c r="G433" t="inlineStr">
        <is>
          <t>MOTALA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46260</v>
      </c>
      <c r="F434" t="inlineStr">
        <is>
          <t>ÖSTERGÖTLANDS LÄN</t>
        </is>
      </c>
      <c r="G434" t="inlineStr">
        <is>
          <t>MOTALA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51648-2023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45222</v>
      </c>
      <c r="E435" s="1" t="n">
        <v>46260</v>
      </c>
      <c r="F435" t="inlineStr">
        <is>
          <t>ÖSTERGÖTLANDS LÄN</t>
        </is>
      </c>
      <c r="G435" t="inlineStr">
        <is>
          <t>MOTALA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45666</v>
      </c>
      <c r="E436" s="1" t="n">
        <v>46260</v>
      </c>
      <c r="F436" t="inlineStr">
        <is>
          <t>ÖSTERGÖTLANDS LÄN</t>
        </is>
      </c>
      <c r="G436" t="inlineStr">
        <is>
          <t>MOTALA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45547</v>
      </c>
      <c r="E437" s="1" t="n">
        <v>46260</v>
      </c>
      <c r="F437" t="inlineStr">
        <is>
          <t>ÖSTERGÖTLANDS LÄN</t>
        </is>
      </c>
      <c r="G437" t="inlineStr">
        <is>
          <t>MOTALA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46260</v>
      </c>
      <c r="F438" t="inlineStr">
        <is>
          <t>ÖSTERGÖTLANDS LÄN</t>
        </is>
      </c>
      <c r="G438" t="inlineStr">
        <is>
          <t>MOTALA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46260</v>
      </c>
      <c r="F439" t="inlineStr">
        <is>
          <t>ÖSTERGÖTLANDS LÄN</t>
        </is>
      </c>
      <c r="G439" t="inlineStr">
        <is>
          <t>MOTALA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45630</v>
      </c>
      <c r="E440" s="1" t="n">
        <v>46260</v>
      </c>
      <c r="F440" t="inlineStr">
        <is>
          <t>ÖSTERGÖTLANDS LÄN</t>
        </is>
      </c>
      <c r="G440" t="inlineStr">
        <is>
          <t>MOTALA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45689</v>
      </c>
      <c r="E441" s="1" t="n">
        <v>46260</v>
      </c>
      <c r="F441" t="inlineStr">
        <is>
          <t>ÖSTERGÖTLANDS LÄN</t>
        </is>
      </c>
      <c r="G441" t="inlineStr">
        <is>
          <t>MOTALA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46260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25600-2025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46260</v>
      </c>
      <c r="F443" t="inlineStr">
        <is>
          <t>ÖSTERGÖTLANDS LÄN</t>
        </is>
      </c>
      <c r="G443" t="inlineStr">
        <is>
          <t>MOTALA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3262-2024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45526</v>
      </c>
      <c r="E444" s="1" t="n">
        <v>46260</v>
      </c>
      <c r="F444" t="inlineStr">
        <is>
          <t>ÖSTERGÖTLANDS LÄN</t>
        </is>
      </c>
      <c r="G444" t="inlineStr">
        <is>
          <t>MOTALA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3481-2023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45205</v>
      </c>
      <c r="E445" s="1" t="n">
        <v>46260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2511-2024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45474</v>
      </c>
      <c r="E446" s="1" t="n">
        <v>46260</v>
      </c>
      <c r="F446" t="inlineStr">
        <is>
          <t>ÖSTERGÖTLANDS LÄN</t>
        </is>
      </c>
      <c r="G446" t="inlineStr">
        <is>
          <t>MOTALA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2535-2024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46260</v>
      </c>
      <c r="F447" t="inlineStr">
        <is>
          <t>ÖSTERGÖTLANDS LÄN</t>
        </is>
      </c>
      <c r="G447" t="inlineStr">
        <is>
          <t>MOTALA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1264-2025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45763</v>
      </c>
      <c r="E448" s="1" t="n">
        <v>46260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1475-2025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45786</v>
      </c>
      <c r="E449" s="1" t="n">
        <v>46260</v>
      </c>
      <c r="F449" t="inlineStr">
        <is>
          <t>ÖSTERGÖTLANDS LÄN</t>
        </is>
      </c>
      <c r="G449" t="inlineStr">
        <is>
          <t>MOTALA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1584-2025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45796</v>
      </c>
      <c r="E450" s="1" t="n">
        <v>46260</v>
      </c>
      <c r="F450" t="inlineStr">
        <is>
          <t>ÖSTERGÖTLANDS LÄN</t>
        </is>
      </c>
      <c r="G450" t="inlineStr">
        <is>
          <t>MOTALA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46071</v>
      </c>
      <c r="E451" s="1" t="n">
        <v>46260</v>
      </c>
      <c r="F451" t="inlineStr">
        <is>
          <t>ÖSTERGÖTLANDS LÄN</t>
        </is>
      </c>
      <c r="G451" t="inlineStr">
        <is>
          <t>MOTALA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523-2026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46077</v>
      </c>
      <c r="E452" s="1" t="n">
        <v>46260</v>
      </c>
      <c r="F452" t="inlineStr">
        <is>
          <t>ÖSTERGÖTLANDS LÄN</t>
        </is>
      </c>
      <c r="G452" t="inlineStr">
        <is>
          <t>MOTALA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820-2026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46104</v>
      </c>
      <c r="E453" s="1" t="n">
        <v>46260</v>
      </c>
      <c r="F453" t="inlineStr">
        <is>
          <t>ÖSTERGÖTLANDS LÄN</t>
        </is>
      </c>
      <c r="G453" t="inlineStr">
        <is>
          <t>MOTALA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2026-08-26T01:49:59Z</dcterms:created>
  <dcterms:modified xmlns:dcterms="http://purl.org/dc/terms/" xmlns:xsi="http://www.w3.org/2001/XMLSchema-instance" xsi:type="dcterms:W3CDTF">2026-08-26T01:50:00Z</dcterms:modified>
</cp:coreProperties>
</file>