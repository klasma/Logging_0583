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46225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46225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t="n">
        <v>23</v>
      </c>
      <c r="V3" s="2" t="inlineStr">
        <is>
          <t>Grönfink
Talltita
Vedtrappmossa
Björksplintborre
Bronshjon
Grönpyrola
Thomsons trägnagare
Vågbandad barkbock
Spillkråka
Tjäder
Tofsmes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46225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t="n">
        <v>13</v>
      </c>
      <c r="V4" s="2" t="inlineStr">
        <is>
          <t>Knärot
Rödvingetrast
Svart skogssnigel
Talltita
Älg
Björksplintborre
Bergsslok
Liljekonvalj
Linnea
Spillkråka
Tofsmes
Vanlig groda
Fläcknycklar</t>
        </is>
      </c>
      <c r="W4">
        <f>HYPERLINK("https://klasma.github.io/Logging_0583/artfynd/A 23975-2026 artfynd.xlsx", "A 23975-2026")</f>
        <v/>
      </c>
      <c r="X4">
        <f>HYPERLINK("https://klasma.github.io/Logging_0583/kartor/A 23975-2026 karta.png", "A 23975-2026")</f>
        <v/>
      </c>
      <c r="Y4">
        <f>HYPERLINK("https://klasma.github.io/Logging_0583/kartor_geotiff/A 23975-2026 georefererad karta.tif", "A 23975-2026")</f>
        <v/>
      </c>
      <c r="Z4">
        <f>HYPERLINK("https://klasma.github.io/Logging_0583/knärot/A 23975-2026 karta knärot.png", "A 23975-2026")</f>
        <v/>
      </c>
      <c r="AA4">
        <f>HYPERLINK("https://klasma.github.io/Logging_0583/klagomål/A 23975-2026 FSC-klagomål.docx", "A 23975-2026")</f>
        <v/>
      </c>
      <c r="AB4">
        <f>HYPERLINK("https://klasma.github.io/Logging_0583/klagomålsmail/A 23975-2026 FSC-klagomål mail.docx", "A 23975-2026")</f>
        <v/>
      </c>
      <c r="AC4">
        <f>HYPERLINK("https://klasma.github.io/Logging_0583/tillsyn/A 23975-2026 tillsynsbegäran.docx", "A 23975-2026")</f>
        <v/>
      </c>
      <c r="AD4">
        <f>HYPERLINK("https://klasma.github.io/Logging_0583/tillsynsmail/A 23975-2026 tillsynsbegäran mail.docx", "A 23975-2026")</f>
        <v/>
      </c>
      <c r="AE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46225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46225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46225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46225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46225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46225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17738-2026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46225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8.699999999999999</v>
      </c>
      <c r="J11" t="n">
        <v>2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10</v>
      </c>
      <c r="U11" t="n">
        <v>10</v>
      </c>
      <c r="V11" s="2" t="inlineStr">
        <is>
          <t>Knärot
Gullpudra
Björksplintborre
Thomsons trägnagare
Vågbandad barkbock
Blåsippa</t>
        </is>
      </c>
      <c r="W11">
        <f>HYPERLINK("https://klasma.github.io/Logging_0583/artfynd/A 17738-2026 artfynd.xlsx", "A 17738-2026")</f>
        <v/>
      </c>
      <c r="X11">
        <f>HYPERLINK("https://klasma.github.io/Logging_0583/kartor/A 17738-2026 karta.png", "A 17738-2026")</f>
        <v/>
      </c>
      <c r="Y11">
        <f>HYPERLINK("https://klasma.github.io/Logging_0583/kartor_geotiff/A 17738-2026 georefererad karta.tif", "A 17738-2026")</f>
        <v/>
      </c>
      <c r="Z11">
        <f>HYPERLINK("https://klasma.github.io/Logging_0583/knärot/A 17738-2026 karta knärot.png", "A 17738-2026")</f>
        <v/>
      </c>
      <c r="AA11">
        <f>HYPERLINK("https://klasma.github.io/Logging_0583/klagomål/A 17738-2026 FSC-klagomål.docx", "A 17738-2026")</f>
        <v/>
      </c>
      <c r="AB11">
        <f>HYPERLINK("https://klasma.github.io/Logging_0583/klagomålsmail/A 17738-2026 FSC-klagomål mail.docx", "A 17738-2026")</f>
        <v/>
      </c>
      <c r="AC11">
        <f>HYPERLINK("https://klasma.github.io/Logging_0583/tillsyn/A 17738-2026 tillsynsbegäran.docx", "A 17738-2026")</f>
        <v/>
      </c>
      <c r="AD11">
        <f>HYPERLINK("https://klasma.github.io/Logging_0583/tillsynsmail/A 17738-2026 tillsynsbegäran mail.docx", "A 17738-2026")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46225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46225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46225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28395-2022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44747</v>
      </c>
      <c r="E15" s="1" t="n">
        <v>46225</v>
      </c>
      <c r="F15" t="inlineStr">
        <is>
          <t>ÖSTERGÖTLANDS LÄN</t>
        </is>
      </c>
      <c r="G15" t="inlineStr">
        <is>
          <t>MOTALA</t>
        </is>
      </c>
      <c r="I15" t="n">
        <v>8.300000000000001</v>
      </c>
      <c r="J15" t="n">
        <v>6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Skogsgås
Nattskärra
Tjäder
Gröngöling
Grönsiska
Sångsvan</t>
        </is>
      </c>
      <c r="W15">
        <f>HYPERLINK("https://klasma.github.io/Logging_0583/artfynd/A 28395-2022 artfynd.xlsx", "A 28395-2022")</f>
        <v/>
      </c>
      <c r="X15">
        <f>HYPERLINK("https://klasma.github.io/Logging_0583/kartor/A 28395-2022 karta.png", "A 28395-2022")</f>
        <v/>
      </c>
      <c r="Y15">
        <f>HYPERLINK("https://klasma.github.io/Logging_0583/kartor_geotiff/A 28395-2022 georefererad karta.tif", "A 28395-2022")</f>
        <v/>
      </c>
      <c r="AA15">
        <f>HYPERLINK("https://klasma.github.io/Logging_0583/klagomål/A 28395-2022 FSC-klagomål.docx", "A 28395-2022")</f>
        <v/>
      </c>
      <c r="AB15">
        <f>HYPERLINK("https://klasma.github.io/Logging_0583/klagomålsmail/A 28395-2022 FSC-klagomål mail.docx", "A 28395-2022")</f>
        <v/>
      </c>
      <c r="AC15">
        <f>HYPERLINK("https://klasma.github.io/Logging_0583/tillsyn/A 28395-2022 tillsynsbegäran.docx", "A 28395-2022")</f>
        <v/>
      </c>
      <c r="AD15">
        <f>HYPERLINK("https://klasma.github.io/Logging_0583/tillsynsmail/A 28395-2022 tillsynsbegäran mail.docx", "A 28395-2022")</f>
        <v/>
      </c>
      <c r="AE15">
        <f>HYPERLINK("https://klasma.github.io/Logging_0583/fåglar/A 28395-2022 prioriterade fågelarter.docx", "A 28395-2022")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46225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17736-2026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46225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2.4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Järnsparv
Talltita
Björksplintborre
Grönsiska</t>
        </is>
      </c>
      <c r="W17">
        <f>HYPERLINK("https://klasma.github.io/Logging_0583/artfynd/A 17736-2026 artfynd.xlsx", "A 17736-2026")</f>
        <v/>
      </c>
      <c r="X17">
        <f>HYPERLINK("https://klasma.github.io/Logging_0583/kartor/A 17736-2026 karta.png", "A 17736-2026")</f>
        <v/>
      </c>
      <c r="Y17">
        <f>HYPERLINK("https://klasma.github.io/Logging_0583/kartor_geotiff/A 17736-2026 georefererad karta.tif", "A 17736-2026")</f>
        <v/>
      </c>
      <c r="AA17">
        <f>HYPERLINK("https://klasma.github.io/Logging_0583/klagomål/A 17736-2026 FSC-klagomål.docx", "A 17736-2026")</f>
        <v/>
      </c>
      <c r="AB17">
        <f>HYPERLINK("https://klasma.github.io/Logging_0583/klagomålsmail/A 17736-2026 FSC-klagomål mail.docx", "A 17736-2026")</f>
        <v/>
      </c>
      <c r="AC17">
        <f>HYPERLINK("https://klasma.github.io/Logging_0583/tillsyn/A 17736-2026 tillsynsbegäran.docx", "A 17736-2026")</f>
        <v/>
      </c>
      <c r="AD17">
        <f>HYPERLINK("https://klasma.github.io/Logging_0583/tillsynsmail/A 17736-2026 tillsynsbegäran mail.docx", "A 17736-2026")</f>
        <v/>
      </c>
      <c r="AE17">
        <f>HYPERLINK("https://klasma.github.io/Logging_0583/fåglar/A 17736-2026 prioriterade fågelarter.docx", "A 17736-2026")</f>
        <v/>
      </c>
    </row>
    <row r="18" ht="15" customHeight="1">
      <c r="A18" t="inlineStr">
        <is>
          <t>A 3721-2023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46225</v>
      </c>
      <c r="F18" t="inlineStr">
        <is>
          <t>ÖSTERGÖTLANDS LÄN</t>
        </is>
      </c>
      <c r="G18" t="inlineStr">
        <is>
          <t>MOTALA</t>
        </is>
      </c>
      <c r="H18" t="inlineStr">
        <is>
          <t>Kommuner</t>
        </is>
      </c>
      <c r="I18" t="n">
        <v>4.7</v>
      </c>
      <c r="J18" t="n">
        <v>2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2</v>
      </c>
      <c r="V18" s="2" t="inlineStr">
        <is>
          <t>Knärot
Flagellkvastmossa
Kornknutmossa
Kungsfågel</t>
        </is>
      </c>
      <c r="W18">
        <f>HYPERLINK("https://klasma.github.io/Logging_0583/artfynd/A 3721-2023 artfynd.xlsx", "A 3721-2023")</f>
        <v/>
      </c>
      <c r="X18">
        <f>HYPERLINK("https://klasma.github.io/Logging_0583/kartor/A 3721-2023 karta.png", "A 3721-2023")</f>
        <v/>
      </c>
      <c r="Y18">
        <f>HYPERLINK("https://klasma.github.io/Logging_0583/kartor_geotiff/A 3721-2023 georefererad karta.tif", "A 3721-2023")</f>
        <v/>
      </c>
      <c r="Z18">
        <f>HYPERLINK("https://klasma.github.io/Logging_0583/knärot/A 3721-2023 karta knärot.png", "A 3721-2023")</f>
        <v/>
      </c>
      <c r="AA18">
        <f>HYPERLINK("https://klasma.github.io/Logging_0583/klagomål/A 3721-2023 FSC-klagomål.docx", "A 3721-2023")</f>
        <v/>
      </c>
      <c r="AB18">
        <f>HYPERLINK("https://klasma.github.io/Logging_0583/klagomålsmail/A 3721-2023 FSC-klagomål mail.docx", "A 3721-2023")</f>
        <v/>
      </c>
      <c r="AC18">
        <f>HYPERLINK("https://klasma.github.io/Logging_0583/tillsyn/A 3721-2023 tillsynsbegäran.docx", "A 3721-2023")</f>
        <v/>
      </c>
      <c r="AD18">
        <f>HYPERLINK("https://klasma.github.io/Logging_0583/tillsynsmail/A 3721-2023 tillsynsbegäran mail.docx", "A 3721-2023")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46225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11145-2026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46080</v>
      </c>
      <c r="E20" s="1" t="n">
        <v>46225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10.9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Tallticka
Björksplintborre
Spillkråka</t>
        </is>
      </c>
      <c r="W20">
        <f>HYPERLINK("https://klasma.github.io/Logging_0583/artfynd/A 11145-2026 artfynd.xlsx", "A 11145-2026")</f>
        <v/>
      </c>
      <c r="X20">
        <f>HYPERLINK("https://klasma.github.io/Logging_0583/kartor/A 11145-2026 karta.png", "A 11145-2026")</f>
        <v/>
      </c>
      <c r="Y20">
        <f>HYPERLINK("https://klasma.github.io/Logging_0583/kartor_geotiff/A 11145-2026 georefererad karta.tif", "A 11145-2026")</f>
        <v/>
      </c>
      <c r="AA20">
        <f>HYPERLINK("https://klasma.github.io/Logging_0583/klagomål/A 11145-2026 FSC-klagomål.docx", "A 11145-2026")</f>
        <v/>
      </c>
      <c r="AB20">
        <f>HYPERLINK("https://klasma.github.io/Logging_0583/klagomålsmail/A 11145-2026 FSC-klagomål mail.docx", "A 11145-2026")</f>
        <v/>
      </c>
      <c r="AC20">
        <f>HYPERLINK("https://klasma.github.io/Logging_0583/tillsyn/A 11145-2026 tillsynsbegäran.docx", "A 11145-2026")</f>
        <v/>
      </c>
      <c r="AD20">
        <f>HYPERLINK("https://klasma.github.io/Logging_0583/tillsynsmail/A 11145-2026 tillsynsbegäran mail.docx", "A 11145-2026")</f>
        <v/>
      </c>
      <c r="AE20">
        <f>HYPERLINK("https://klasma.github.io/Logging_0583/fåglar/A 11145-2026 prioriterade fågelarter.docx", "A 11145-2026")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46225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46225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46225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46225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2153-2026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46225</v>
      </c>
      <c r="F25" t="inlineStr">
        <is>
          <t>ÖSTERGÖTLANDS LÄN</t>
        </is>
      </c>
      <c r="G25" t="inlineStr">
        <is>
          <t>MOTALA</t>
        </is>
      </c>
      <c r="I25" t="n">
        <v>2.8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Blomkålssvamp
Mattlummer</t>
        </is>
      </c>
      <c r="W25">
        <f>HYPERLINK("https://klasma.github.io/Logging_0583/artfynd/A 2153-2026 artfynd.xlsx", "A 2153-2026")</f>
        <v/>
      </c>
      <c r="X25">
        <f>HYPERLINK("https://klasma.github.io/Logging_0583/kartor/A 2153-2026 karta.png", "A 2153-2026")</f>
        <v/>
      </c>
      <c r="Y25">
        <f>HYPERLINK("https://klasma.github.io/Logging_0583/kartor_geotiff/A 2153-2026 georefererad karta.tif", "A 2153-2026")</f>
        <v/>
      </c>
      <c r="AA25">
        <f>HYPERLINK("https://klasma.github.io/Logging_0583/klagomål/A 2153-2026 FSC-klagomål.docx", "A 2153-2026")</f>
        <v/>
      </c>
      <c r="AB25">
        <f>HYPERLINK("https://klasma.github.io/Logging_0583/klagomålsmail/A 2153-2026 FSC-klagomål mail.docx", "A 2153-2026")</f>
        <v/>
      </c>
      <c r="AC25">
        <f>HYPERLINK("https://klasma.github.io/Logging_0583/tillsyn/A 2153-2026 tillsynsbegäran.docx", "A 2153-2026")</f>
        <v/>
      </c>
      <c r="AD25">
        <f>HYPERLINK("https://klasma.github.io/Logging_0583/tillsynsmail/A 2153-2026 tillsynsbegäran mail.docx", "A 2153-2026")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46225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Stallört
Kärrknipprot</t>
        </is>
      </c>
      <c r="W26">
        <f>HYPERLINK("https://klasma.github.io/Logging_0583/artfynd/A 53201-2025 artfynd.xlsx", "A 53201-2025")</f>
        <v/>
      </c>
      <c r="X26">
        <f>HYPERLINK("https://klasma.github.io/Logging_0583/kartor/A 53201-2025 karta.png", "A 53201-2025")</f>
        <v/>
      </c>
      <c r="Y26">
        <f>HYPERLINK("https://klasma.github.io/Logging_0583/kartor_geotiff/A 53201-2025 georefererad karta.tif", "A 53201-2025")</f>
        <v/>
      </c>
      <c r="AA26">
        <f>HYPERLINK("https://klasma.github.io/Logging_0583/klagomål/A 53201-2025 FSC-klagomål.docx", "A 53201-2025")</f>
        <v/>
      </c>
      <c r="AB26">
        <f>HYPERLINK("https://klasma.github.io/Logging_0583/klagomålsmail/A 53201-2025 FSC-klagomål mail.docx", "A 53201-2025")</f>
        <v/>
      </c>
      <c r="AC26">
        <f>HYPERLINK("https://klasma.github.io/Logging_0583/tillsyn/A 53201-2025 tillsynsbegäran.docx", "A 53201-2025")</f>
        <v/>
      </c>
      <c r="AD26">
        <f>HYPERLINK("https://klasma.github.io/Logging_0583/tillsynsmail/A 53201-2025 tillsynsbegäran mail.docx", "A 53201-2025")</f>
        <v/>
      </c>
    </row>
    <row r="27" ht="15" customHeight="1">
      <c r="A27" t="inlineStr">
        <is>
          <t>A 20820-2026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46225</v>
      </c>
      <c r="F27" t="inlineStr">
        <is>
          <t>ÖSTERGÖTLANDS LÄN</t>
        </is>
      </c>
      <c r="G27" t="inlineStr">
        <is>
          <t>MOTALA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Bergsslok
Storrams</t>
        </is>
      </c>
      <c r="W27">
        <f>HYPERLINK("https://klasma.github.io/Logging_0583/artfynd/A 20820-2026 artfynd.xlsx", "A 20820-2026")</f>
        <v/>
      </c>
      <c r="X27">
        <f>HYPERLINK("https://klasma.github.io/Logging_0583/kartor/A 20820-2026 karta.png", "A 20820-2026")</f>
        <v/>
      </c>
      <c r="Y27">
        <f>HYPERLINK("https://klasma.github.io/Logging_0583/kartor_geotiff/A 20820-2026 georefererad karta.tif", "A 20820-2026")</f>
        <v/>
      </c>
      <c r="AA27">
        <f>HYPERLINK("https://klasma.github.io/Logging_0583/klagomål/A 20820-2026 FSC-klagomål.docx", "A 20820-2026")</f>
        <v/>
      </c>
      <c r="AB27">
        <f>HYPERLINK("https://klasma.github.io/Logging_0583/klagomålsmail/A 20820-2026 FSC-klagomål mail.docx", "A 20820-2026")</f>
        <v/>
      </c>
      <c r="AC27">
        <f>HYPERLINK("https://klasma.github.io/Logging_0583/tillsyn/A 20820-2026 tillsynsbegäran.docx", "A 20820-2026")</f>
        <v/>
      </c>
      <c r="AD27">
        <f>HYPERLINK("https://klasma.github.io/Logging_0583/tillsynsmail/A 20820-2026 tillsynsbegäran mail.docx", "A 20820-2026")</f>
        <v/>
      </c>
    </row>
    <row r="28" ht="15" customHeight="1">
      <c r="A28" t="inlineStr">
        <is>
          <t>A 27887-2026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46191</v>
      </c>
      <c r="E28" s="1" t="n">
        <v>46225</v>
      </c>
      <c r="F28" t="inlineStr">
        <is>
          <t>ÖSTERGÖTLANDS LÄN</t>
        </is>
      </c>
      <c r="G28" t="inlineStr">
        <is>
          <t>MOTALA</t>
        </is>
      </c>
      <c r="H28" t="inlineStr">
        <is>
          <t>Holmen skog AB</t>
        </is>
      </c>
      <c r="I28" t="n">
        <v>4.8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Tibast
Blåsippa</t>
        </is>
      </c>
      <c r="W28">
        <f>HYPERLINK("https://klasma.github.io/Logging_0583/artfynd/A 27887-2026 artfynd.xlsx", "A 27887-2026")</f>
        <v/>
      </c>
      <c r="X28">
        <f>HYPERLINK("https://klasma.github.io/Logging_0583/kartor/A 27887-2026 karta.png", "A 27887-2026")</f>
        <v/>
      </c>
      <c r="Y28">
        <f>HYPERLINK("https://klasma.github.io/Logging_0583/kartor_geotiff/A 27887-2026 georefererad karta.tif", "A 27887-2026")</f>
        <v/>
      </c>
      <c r="AA28">
        <f>HYPERLINK("https://klasma.github.io/Logging_0583/klagomål/A 27887-2026 FSC-klagomål.docx", "A 27887-2026")</f>
        <v/>
      </c>
      <c r="AB28">
        <f>HYPERLINK("https://klasma.github.io/Logging_0583/klagomålsmail/A 27887-2026 FSC-klagomål mail.docx", "A 27887-2026")</f>
        <v/>
      </c>
      <c r="AC28">
        <f>HYPERLINK("https://klasma.github.io/Logging_0583/tillsyn/A 27887-2026 tillsynsbegäran.docx", "A 27887-2026")</f>
        <v/>
      </c>
      <c r="AD28">
        <f>HYPERLINK("https://klasma.github.io/Logging_0583/tillsynsmail/A 27887-2026 tillsynsbegäran mail.docx", "A 27887-2026")</f>
        <v/>
      </c>
    </row>
    <row r="29" ht="15" customHeight="1">
      <c r="A29" t="inlineStr">
        <is>
          <t>A 44938-2025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45918</v>
      </c>
      <c r="E29" s="1" t="n">
        <v>46225</v>
      </c>
      <c r="F29" t="inlineStr">
        <is>
          <t>ÖSTERGÖTLANDS LÄN</t>
        </is>
      </c>
      <c r="G29" t="inlineStr">
        <is>
          <t>MOTALA</t>
        </is>
      </c>
      <c r="I29" t="n">
        <v>2.1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Blomkålssvamp
Revlummer</t>
        </is>
      </c>
      <c r="W29">
        <f>HYPERLINK("https://klasma.github.io/Logging_0583/artfynd/A 44938-2025 artfynd.xlsx", "A 44938-2025")</f>
        <v/>
      </c>
      <c r="X29">
        <f>HYPERLINK("https://klasma.github.io/Logging_0583/kartor/A 44938-2025 karta.png", "A 44938-2025")</f>
        <v/>
      </c>
      <c r="Y29">
        <f>HYPERLINK("https://klasma.github.io/Logging_0583/kartor_geotiff/A 44938-2025 georefererad karta.tif", "A 44938-2025")</f>
        <v/>
      </c>
      <c r="AA29">
        <f>HYPERLINK("https://klasma.github.io/Logging_0583/klagomål/A 44938-2025 FSC-klagomål.docx", "A 44938-2025")</f>
        <v/>
      </c>
      <c r="AB29">
        <f>HYPERLINK("https://klasma.github.io/Logging_0583/klagomålsmail/A 44938-2025 FSC-klagomål mail.docx", "A 44938-2025")</f>
        <v/>
      </c>
      <c r="AC29">
        <f>HYPERLINK("https://klasma.github.io/Logging_0583/tillsyn/A 44938-2025 tillsynsbegäran.docx", "A 44938-2025")</f>
        <v/>
      </c>
      <c r="AD29">
        <f>HYPERLINK("https://klasma.github.io/Logging_0583/tillsynsmail/A 44938-2025 tillsynsbegäran mail.docx", "A 44938-2025")</f>
        <v/>
      </c>
    </row>
    <row r="30" ht="15" customHeight="1">
      <c r="A30" t="inlineStr">
        <is>
          <t>A 48392-2024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46225</v>
      </c>
      <c r="F30" t="inlineStr">
        <is>
          <t>ÖSTERGÖTLANDS LÄN</t>
        </is>
      </c>
      <c r="G30" t="inlineStr">
        <is>
          <t>MOTALA</t>
        </is>
      </c>
      <c r="I30" t="n">
        <v>0.6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Vätteros
Nattviol</t>
        </is>
      </c>
      <c r="W30">
        <f>HYPERLINK("https://klasma.github.io/Logging_0583/artfynd/A 48392-2024 artfynd.xlsx", "A 48392-2024")</f>
        <v/>
      </c>
      <c r="X30">
        <f>HYPERLINK("https://klasma.github.io/Logging_0583/kartor/A 48392-2024 karta.png", "A 48392-2024")</f>
        <v/>
      </c>
      <c r="Y30">
        <f>HYPERLINK("https://klasma.github.io/Logging_0583/kartor_geotiff/A 48392-2024 georefererad karta.tif", "A 48392-2024")</f>
        <v/>
      </c>
      <c r="AA30">
        <f>HYPERLINK("https://klasma.github.io/Logging_0583/klagomål/A 48392-2024 FSC-klagomål.docx", "A 48392-2024")</f>
        <v/>
      </c>
      <c r="AB30">
        <f>HYPERLINK("https://klasma.github.io/Logging_0583/klagomålsmail/A 48392-2024 FSC-klagomål mail.docx", "A 48392-2024")</f>
        <v/>
      </c>
      <c r="AC30">
        <f>HYPERLINK("https://klasma.github.io/Logging_0583/tillsyn/A 48392-2024 tillsynsbegäran.docx", "A 48392-2024")</f>
        <v/>
      </c>
      <c r="AD30">
        <f>HYPERLINK("https://klasma.github.io/Logging_0583/tillsynsmail/A 48392-2024 tillsynsbegäran mail.docx", "A 48392-2024")</f>
        <v/>
      </c>
    </row>
    <row r="31" ht="15" customHeight="1">
      <c r="A31" t="inlineStr">
        <is>
          <t>A 18894-2023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46225</v>
      </c>
      <c r="F31" t="inlineStr">
        <is>
          <t>ÖSTERGÖTLANDS LÄN</t>
        </is>
      </c>
      <c r="G31" t="inlineStr">
        <is>
          <t>MOTALA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11</v>
      </c>
      <c r="U31" t="n">
        <v>0</v>
      </c>
      <c r="V31" s="2" t="inlineStr">
        <is>
          <t>Ask
Skogsalm</t>
        </is>
      </c>
      <c r="W31">
        <f>HYPERLINK("https://klasma.github.io/Logging_0583/artfynd/A 18894-2023 artfynd.xlsx", "A 18894-2023")</f>
        <v/>
      </c>
      <c r="X31">
        <f>HYPERLINK("https://klasma.github.io/Logging_0583/kartor/A 18894-2023 karta.png", "A 18894-2023")</f>
        <v/>
      </c>
      <c r="Y31">
        <f>HYPERLINK("https://klasma.github.io/Logging_0583/kartor_geotiff/A 18894-2023 georefererad karta.tif", "A 18894-2023")</f>
        <v/>
      </c>
      <c r="AA31">
        <f>HYPERLINK("https://klasma.github.io/Logging_0583/klagomål/A 18894-2023 FSC-klagomål.docx", "A 18894-2023")</f>
        <v/>
      </c>
      <c r="AB31">
        <f>HYPERLINK("https://klasma.github.io/Logging_0583/klagomålsmail/A 18894-2023 FSC-klagomål mail.docx", "A 18894-2023")</f>
        <v/>
      </c>
      <c r="AC31">
        <f>HYPERLINK("https://klasma.github.io/Logging_0583/tillsyn/A 18894-2023 tillsynsbegäran.docx", "A 18894-2023")</f>
        <v/>
      </c>
      <c r="AD31">
        <f>HYPERLINK("https://klasma.github.io/Logging_0583/tillsynsmail/A 18894-2023 tillsynsbegäran mail.docx", "A 18894-2023")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46225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0</v>
      </c>
      <c r="V32" s="2" t="inlineStr">
        <is>
          <t>Knärot
Blåmossa</t>
        </is>
      </c>
      <c r="W32">
        <f>HYPERLINK("https://klasma.github.io/Logging_0583/artfynd/S 247-2025 artfynd.xlsx", "S 247-2025")</f>
        <v/>
      </c>
      <c r="X32">
        <f>HYPERLINK("https://klasma.github.io/Logging_0583/kartor/S 247-2025 karta.png", "S 247-2025")</f>
        <v/>
      </c>
      <c r="Y32">
        <f>HYPERLINK("https://klasma.github.io/Logging_0583/kartor_geotiff/S 247-2025 georefererad karta.tif", "S 247-2025")</f>
        <v/>
      </c>
      <c r="Z32">
        <f>HYPERLINK("https://klasma.github.io/Logging_0583/knärot/S 247-2025 karta knärot.png", "S 247-2025")</f>
        <v/>
      </c>
      <c r="AA32">
        <f>HYPERLINK("https://klasma.github.io/Logging_0583/klagomål/S 247-2025 FSC-klagomål.docx", "S 247-2025")</f>
        <v/>
      </c>
      <c r="AB32">
        <f>HYPERLINK("https://klasma.github.io/Logging_0583/klagomålsmail/S 247-2025 FSC-klagomål mail.docx", "S 247-2025")</f>
        <v/>
      </c>
      <c r="AC32">
        <f>HYPERLINK("https://klasma.github.io/Logging_0583/tillsyn/S 247-2025 tillsynsbegäran.docx", "S 247-2025")</f>
        <v/>
      </c>
      <c r="AD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46225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HYPERLINK("https://klasma.github.io/Logging_0583/artfynd/A 72192-2021 artfynd.xlsx", "A 72192-2021")</f>
        <v/>
      </c>
      <c r="X33">
        <f>HYPERLINK("https://klasma.github.io/Logging_0583/kartor/A 72192-2021 karta.png", "A 72192-2021")</f>
        <v/>
      </c>
      <c r="Y33">
        <f>HYPERLINK("https://klasma.github.io/Logging_0583/kartor_geotiff/A 72192-2021 georefererad karta.tif", "A 72192-2021")</f>
        <v/>
      </c>
      <c r="AA33">
        <f>HYPERLINK("https://klasma.github.io/Logging_0583/klagomål/A 72192-2021 FSC-klagomål.docx", "A 72192-2021")</f>
        <v/>
      </c>
      <c r="AB33">
        <f>HYPERLINK("https://klasma.github.io/Logging_0583/klagomålsmail/A 72192-2021 FSC-klagomål mail.docx", "A 72192-2021")</f>
        <v/>
      </c>
      <c r="AC33">
        <f>HYPERLINK("https://klasma.github.io/Logging_0583/tillsyn/A 72192-2021 tillsynsbegäran.docx", "A 72192-2021")</f>
        <v/>
      </c>
      <c r="AD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46225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HYPERLINK("https://klasma.github.io/Logging_0583/artfynd/A 72847-2021 artfynd.xlsx", "A 72847-2021")</f>
        <v/>
      </c>
      <c r="X34">
        <f>HYPERLINK("https://klasma.github.io/Logging_0583/kartor/A 72847-2021 karta.png", "A 72847-2021")</f>
        <v/>
      </c>
      <c r="Y34">
        <f>HYPERLINK("https://klasma.github.io/Logging_0583/kartor_geotiff/A 72847-2021 georefererad karta.tif", "A 72847-2021")</f>
        <v/>
      </c>
      <c r="AA34">
        <f>HYPERLINK("https://klasma.github.io/Logging_0583/klagomål/A 72847-2021 FSC-klagomål.docx", "A 72847-2021")</f>
        <v/>
      </c>
      <c r="AB34">
        <f>HYPERLINK("https://klasma.github.io/Logging_0583/klagomålsmail/A 72847-2021 FSC-klagomål mail.docx", "A 72847-2021")</f>
        <v/>
      </c>
      <c r="AC34">
        <f>HYPERLINK("https://klasma.github.io/Logging_0583/tillsyn/A 72847-2021 tillsynsbegäran.docx", "A 72847-2021")</f>
        <v/>
      </c>
      <c r="AD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46225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Huggorm</t>
        </is>
      </c>
      <c r="W35">
        <f>HYPERLINK("https://klasma.github.io/Logging_0583/artfynd/A 39620-2021 artfynd.xlsx", "A 39620-2021")</f>
        <v/>
      </c>
      <c r="X35">
        <f>HYPERLINK("https://klasma.github.io/Logging_0583/kartor/A 39620-2021 karta.png", "A 39620-2021")</f>
        <v/>
      </c>
      <c r="Y35">
        <f>HYPERLINK("https://klasma.github.io/Logging_0583/kartor_geotiff/A 39620-2021 georefererad karta.tif", "A 39620-2021")</f>
        <v/>
      </c>
      <c r="AA35">
        <f>HYPERLINK("https://klasma.github.io/Logging_0583/klagomål/A 39620-2021 FSC-klagomål.docx", "A 39620-2021")</f>
        <v/>
      </c>
      <c r="AB35">
        <f>HYPERLINK("https://klasma.github.io/Logging_0583/klagomålsmail/A 39620-2021 FSC-klagomål mail.docx", "A 39620-2021")</f>
        <v/>
      </c>
      <c r="AC35">
        <f>HYPERLINK("https://klasma.github.io/Logging_0583/tillsyn/A 39620-2021 tillsynsbegäran.docx", "A 39620-2021")</f>
        <v/>
      </c>
      <c r="AD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46225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46225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HYPERLINK("https://klasma.github.io/Logging_0583/artfynd/A 47332-2025 artfynd.xlsx", "A 47332-2025")</f>
        <v/>
      </c>
      <c r="X37">
        <f>HYPERLINK("https://klasma.github.io/Logging_0583/kartor/A 47332-2025 karta.png", "A 47332-2025")</f>
        <v/>
      </c>
      <c r="Y37">
        <f>HYPERLINK("https://klasma.github.io/Logging_0583/kartor_geotiff/A 47332-2025 georefererad karta.tif", "A 47332-2025")</f>
        <v/>
      </c>
      <c r="AA37">
        <f>HYPERLINK("https://klasma.github.io/Logging_0583/klagomål/A 47332-2025 FSC-klagomål.docx", "A 47332-2025")</f>
        <v/>
      </c>
      <c r="AB37">
        <f>HYPERLINK("https://klasma.github.io/Logging_0583/klagomålsmail/A 47332-2025 FSC-klagomål mail.docx", "A 47332-2025")</f>
        <v/>
      </c>
      <c r="AC37">
        <f>HYPERLINK("https://klasma.github.io/Logging_0583/tillsyn/A 47332-2025 tillsynsbegäran.docx", "A 47332-2025")</f>
        <v/>
      </c>
      <c r="AD37">
        <f>HYPERLINK("https://klasma.github.io/Logging_0583/tillsynsmail/A 47332-2025 tillsynsbegäran mail.docx", "A 47332-2025")</f>
        <v/>
      </c>
    </row>
    <row r="38" ht="15" customHeight="1">
      <c r="A38" t="inlineStr">
        <is>
          <t>A 17739-2026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46122</v>
      </c>
      <c r="E38" s="1" t="n">
        <v>46225</v>
      </c>
      <c r="F38" t="inlineStr">
        <is>
          <t>ÖSTERGÖTLANDS LÄN</t>
        </is>
      </c>
      <c r="G38" t="inlineStr">
        <is>
          <t>MOTALA</t>
        </is>
      </c>
      <c r="H38" t="inlineStr">
        <is>
          <t>Sveaskog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HYPERLINK("https://klasma.github.io/Logging_0583/artfynd/A 17739-2026 artfynd.xlsx", "A 17739-2026")</f>
        <v/>
      </c>
      <c r="X38">
        <f>HYPERLINK("https://klasma.github.io/Logging_0583/kartor/A 17739-2026 karta.png", "A 17739-2026")</f>
        <v/>
      </c>
      <c r="Y38">
        <f>HYPERLINK("https://klasma.github.io/Logging_0583/kartor_geotiff/A 17739-2026 georefererad karta.tif", "A 17739-2026")</f>
        <v/>
      </c>
      <c r="AA38">
        <f>HYPERLINK("https://klasma.github.io/Logging_0583/klagomål/A 17739-2026 FSC-klagomål.docx", "A 17739-2026")</f>
        <v/>
      </c>
      <c r="AB38">
        <f>HYPERLINK("https://klasma.github.io/Logging_0583/klagomålsmail/A 17739-2026 FSC-klagomål mail.docx", "A 17739-2026")</f>
        <v/>
      </c>
      <c r="AC38">
        <f>HYPERLINK("https://klasma.github.io/Logging_0583/tillsyn/A 17739-2026 tillsynsbegäran.docx", "A 17739-2026")</f>
        <v/>
      </c>
      <c r="AD38">
        <f>HYPERLINK("https://klasma.github.io/Logging_0583/tillsynsmail/A 17739-2026 tillsynsbegäran mail.docx", "A 17739-2026")</f>
        <v/>
      </c>
      <c r="AE38">
        <f>HYPERLINK("https://klasma.github.io/Logging_0583/fåglar/A 17739-2026 prioriterade fågelarter.docx", "A 17739-2026")</f>
        <v/>
      </c>
    </row>
    <row r="39" ht="15" customHeight="1">
      <c r="A39" t="inlineStr">
        <is>
          <t>A 17740-2026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46225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0.6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Blåsippa</t>
        </is>
      </c>
      <c r="W39">
        <f>HYPERLINK("https://klasma.github.io/Logging_0583/artfynd/A 17740-2026 artfynd.xlsx", "A 17740-2026")</f>
        <v/>
      </c>
      <c r="X39">
        <f>HYPERLINK("https://klasma.github.io/Logging_0583/kartor/A 17740-2026 karta.png", "A 17740-2026")</f>
        <v/>
      </c>
      <c r="Y39">
        <f>HYPERLINK("https://klasma.github.io/Logging_0583/kartor_geotiff/A 17740-2026 georefererad karta.tif", "A 17740-2026")</f>
        <v/>
      </c>
      <c r="AA39">
        <f>HYPERLINK("https://klasma.github.io/Logging_0583/klagomål/A 17740-2026 FSC-klagomål.docx", "A 17740-2026")</f>
        <v/>
      </c>
      <c r="AB39">
        <f>HYPERLINK("https://klasma.github.io/Logging_0583/klagomålsmail/A 17740-2026 FSC-klagomål mail.docx", "A 17740-2026")</f>
        <v/>
      </c>
      <c r="AC39">
        <f>HYPERLINK("https://klasma.github.io/Logging_0583/tillsyn/A 17740-2026 tillsynsbegäran.docx", "A 17740-2026")</f>
        <v/>
      </c>
      <c r="AD39">
        <f>HYPERLINK("https://klasma.github.io/Logging_0583/tillsynsmail/A 17740-2026 tillsynsbegäran mail.docx", "A 17740-2026")</f>
        <v/>
      </c>
    </row>
    <row r="40" ht="15" customHeight="1">
      <c r="A40" t="inlineStr">
        <is>
          <t>A 24554-2025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45798</v>
      </c>
      <c r="E40" s="1" t="n">
        <v>46225</v>
      </c>
      <c r="F40" t="inlineStr">
        <is>
          <t>ÖSTERGÖTLANDS LÄN</t>
        </is>
      </c>
      <c r="G40" t="inlineStr">
        <is>
          <t>MOTALA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HYPERLINK("https://klasma.github.io/Logging_0583/artfynd/A 24554-2025 artfynd.xlsx", "A 24554-2025")</f>
        <v/>
      </c>
      <c r="X40">
        <f>HYPERLINK("https://klasma.github.io/Logging_0583/kartor/A 24554-2025 karta.png", "A 24554-2025")</f>
        <v/>
      </c>
      <c r="Y40">
        <f>HYPERLINK("https://klasma.github.io/Logging_0583/kartor_geotiff/A 24554-2025 georefererad karta.tif", "A 24554-2025")</f>
        <v/>
      </c>
      <c r="AA40">
        <f>HYPERLINK("https://klasma.github.io/Logging_0583/klagomål/A 24554-2025 FSC-klagomål.docx", "A 24554-2025")</f>
        <v/>
      </c>
      <c r="AB40">
        <f>HYPERLINK("https://klasma.github.io/Logging_0583/klagomålsmail/A 24554-2025 FSC-klagomål mail.docx", "A 24554-2025")</f>
        <v/>
      </c>
      <c r="AC40">
        <f>HYPERLINK("https://klasma.github.io/Logging_0583/tillsyn/A 24554-2025 tillsynsbegäran.docx", "A 24554-2025")</f>
        <v/>
      </c>
      <c r="AD40">
        <f>HYPERLINK("https://klasma.github.io/Logging_0583/tillsynsmail/A 24554-2025 tillsynsbegäran mail.docx", "A 24554-2025")</f>
        <v/>
      </c>
    </row>
    <row r="41" ht="15" customHeight="1">
      <c r="A41" t="inlineStr">
        <is>
          <t>A 52523-2022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44874</v>
      </c>
      <c r="E41" s="1" t="n">
        <v>46225</v>
      </c>
      <c r="F41" t="inlineStr">
        <is>
          <t>ÖSTERGÖTLANDS LÄN</t>
        </is>
      </c>
      <c r="G41" t="inlineStr">
        <is>
          <t>MOTALA</t>
        </is>
      </c>
      <c r="H41" t="inlineStr">
        <is>
          <t>Kyrkan</t>
        </is>
      </c>
      <c r="I41" t="n">
        <v>6.7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4</v>
      </c>
      <c r="V41" s="2" t="inlineStr">
        <is>
          <t>Fläcknycklar</t>
        </is>
      </c>
      <c r="W41">
        <f>HYPERLINK("https://klasma.github.io/Logging_0583/artfynd/A 52523-2022 artfynd.xlsx", "A 52523-2022")</f>
        <v/>
      </c>
      <c r="X41">
        <f>HYPERLINK("https://klasma.github.io/Logging_0583/kartor/A 52523-2022 karta.png", "A 52523-2022")</f>
        <v/>
      </c>
      <c r="Y41">
        <f>HYPERLINK("https://klasma.github.io/Logging_0583/kartor_geotiff/A 52523-2022 georefererad karta.tif", "A 52523-2022")</f>
        <v/>
      </c>
      <c r="AA41">
        <f>HYPERLINK("https://klasma.github.io/Logging_0583/klagomål/A 52523-2022 FSC-klagomål.docx", "A 52523-2022")</f>
        <v/>
      </c>
      <c r="AB41">
        <f>HYPERLINK("https://klasma.github.io/Logging_0583/klagomålsmail/A 52523-2022 FSC-klagomål mail.docx", "A 52523-2022")</f>
        <v/>
      </c>
      <c r="AC41">
        <f>HYPERLINK("https://klasma.github.io/Logging_0583/tillsyn/A 52523-2022 tillsynsbegäran.docx", "A 52523-2022")</f>
        <v/>
      </c>
      <c r="AD41">
        <f>HYPERLINK("https://klasma.github.io/Logging_0583/tillsynsmail/A 52523-2022 tillsynsbegäran mail.docx", "A 52523-2022")</f>
        <v/>
      </c>
    </row>
    <row r="42" ht="15" customHeight="1">
      <c r="A42" t="inlineStr">
        <is>
          <t>A 44814-2025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45918</v>
      </c>
      <c r="E42" s="1" t="n">
        <v>46225</v>
      </c>
      <c r="F42" t="inlineStr">
        <is>
          <t>ÖSTERGÖTLANDS LÄN</t>
        </is>
      </c>
      <c r="G42" t="inlineStr">
        <is>
          <t>MOTALA</t>
        </is>
      </c>
      <c r="I42" t="n">
        <v>5.9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HYPERLINK("https://klasma.github.io/Logging_0583/artfynd/A 44814-2025 artfynd.xlsx", "A 44814-2025")</f>
        <v/>
      </c>
      <c r="X42">
        <f>HYPERLINK("https://klasma.github.io/Logging_0583/kartor/A 44814-2025 karta.png", "A 44814-2025")</f>
        <v/>
      </c>
      <c r="Y42">
        <f>HYPERLINK("https://klasma.github.io/Logging_0583/kartor_geotiff/A 44814-2025 georefererad karta.tif", "A 44814-2025")</f>
        <v/>
      </c>
      <c r="AA42">
        <f>HYPERLINK("https://klasma.github.io/Logging_0583/klagomål/A 44814-2025 FSC-klagomål.docx", "A 44814-2025")</f>
        <v/>
      </c>
      <c r="AB42">
        <f>HYPERLINK("https://klasma.github.io/Logging_0583/klagomålsmail/A 44814-2025 FSC-klagomål mail.docx", "A 44814-2025")</f>
        <v/>
      </c>
      <c r="AC42">
        <f>HYPERLINK("https://klasma.github.io/Logging_0583/tillsyn/A 44814-2025 tillsynsbegäran.docx", "A 44814-2025")</f>
        <v/>
      </c>
      <c r="AD42">
        <f>HYPERLINK("https://klasma.github.io/Logging_0583/tillsynsmail/A 44814-2025 tillsynsbegäran mail.docx", "A 44814-2025")</f>
        <v/>
      </c>
    </row>
    <row r="43" ht="15" customHeight="1">
      <c r="A43" t="inlineStr">
        <is>
          <t>A 27907-2026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46191</v>
      </c>
      <c r="E43" s="1" t="n">
        <v>46225</v>
      </c>
      <c r="F43" t="inlineStr">
        <is>
          <t>ÖSTERGÖTLANDS LÄN</t>
        </is>
      </c>
      <c r="G43" t="inlineStr">
        <is>
          <t>MOTALA</t>
        </is>
      </c>
      <c r="H43" t="inlineStr">
        <is>
          <t>Holmen skog AB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HYPERLINK("https://klasma.github.io/Logging_0583/artfynd/A 27907-2026 artfynd.xlsx", "A 27907-2026")</f>
        <v/>
      </c>
      <c r="X43">
        <f>HYPERLINK("https://klasma.github.io/Logging_0583/kartor/A 27907-2026 karta.png", "A 27907-2026")</f>
        <v/>
      </c>
      <c r="Y43">
        <f>HYPERLINK("https://klasma.github.io/Logging_0583/kartor_geotiff/A 27907-2026 georefererad karta.tif", "A 27907-2026")</f>
        <v/>
      </c>
      <c r="AA43">
        <f>HYPERLINK("https://klasma.github.io/Logging_0583/klagomål/A 27907-2026 FSC-klagomål.docx", "A 27907-2026")</f>
        <v/>
      </c>
      <c r="AB43">
        <f>HYPERLINK("https://klasma.github.io/Logging_0583/klagomålsmail/A 27907-2026 FSC-klagomål mail.docx", "A 27907-2026")</f>
        <v/>
      </c>
      <c r="AC43">
        <f>HYPERLINK("https://klasma.github.io/Logging_0583/tillsyn/A 27907-2026 tillsynsbegäran.docx", "A 27907-2026")</f>
        <v/>
      </c>
      <c r="AD43">
        <f>HYPERLINK("https://klasma.github.io/Logging_0583/tillsynsmail/A 27907-2026 tillsynsbegäran mail.docx", "A 27907-2026")</f>
        <v/>
      </c>
      <c r="AE43">
        <f>HYPERLINK("https://klasma.github.io/Logging_0583/fåglar/A 27907-2026 prioriterade fågelarter.docx", "A 27907-2026")</f>
        <v/>
      </c>
    </row>
    <row r="44" ht="15" customHeight="1">
      <c r="A44" t="inlineStr">
        <is>
          <t>A 2194-2023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46225</v>
      </c>
      <c r="F44" t="inlineStr">
        <is>
          <t>ÖSTERGÖTLANDS LÄN</t>
        </is>
      </c>
      <c r="G44" t="inlineStr">
        <is>
          <t>MOTALA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Fiskgjuse</t>
        </is>
      </c>
      <c r="W44">
        <f>HYPERLINK("https://klasma.github.io/Logging_0583/artfynd/A 2194-2023 artfynd.xlsx", "A 2194-2023")</f>
        <v/>
      </c>
      <c r="X44">
        <f>HYPERLINK("https://klasma.github.io/Logging_0583/kartor/A 2194-2023 karta.png", "A 2194-2023")</f>
        <v/>
      </c>
      <c r="Y44">
        <f>HYPERLINK("https://klasma.github.io/Logging_0583/kartor_geotiff/A 2194-2023 georefererad karta.tif", "A 2194-2023")</f>
        <v/>
      </c>
      <c r="AA44">
        <f>HYPERLINK("https://klasma.github.io/Logging_0583/klagomål/A 2194-2023 FSC-klagomål.docx", "A 2194-2023")</f>
        <v/>
      </c>
      <c r="AB44">
        <f>HYPERLINK("https://klasma.github.io/Logging_0583/klagomålsmail/A 2194-2023 FSC-klagomål mail.docx", "A 2194-2023")</f>
        <v/>
      </c>
      <c r="AC44">
        <f>HYPERLINK("https://klasma.github.io/Logging_0583/tillsyn/A 2194-2023 tillsynsbegäran.docx", "A 2194-2023")</f>
        <v/>
      </c>
      <c r="AD44">
        <f>HYPERLINK("https://klasma.github.io/Logging_0583/tillsynsmail/A 2194-2023 tillsynsbegäran mail.docx", "A 2194-2023")</f>
        <v/>
      </c>
      <c r="AE44">
        <f>HYPERLINK("https://klasma.github.io/Logging_0583/fåglar/A 2194-2023 prioriterade fågelarter.docx", "A 2194-2023")</f>
        <v/>
      </c>
    </row>
    <row r="45" ht="15" customHeight="1">
      <c r="A45" t="inlineStr">
        <is>
          <t>A 30955-2023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45103</v>
      </c>
      <c r="E45" s="1" t="n">
        <v>46225</v>
      </c>
      <c r="F45" t="inlineStr">
        <is>
          <t>ÖSTERGÖTLANDS LÄN</t>
        </is>
      </c>
      <c r="G45" t="inlineStr">
        <is>
          <t>MOTALA</t>
        </is>
      </c>
      <c r="H45" t="inlineStr">
        <is>
          <t>Övriga statliga verk och myndigheter</t>
        </is>
      </c>
      <c r="I45" t="n">
        <v>7.5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HYPERLINK("https://klasma.github.io/Logging_0583/artfynd/A 30955-2023 artfynd.xlsx", "A 30955-2023")</f>
        <v/>
      </c>
      <c r="X45">
        <f>HYPERLINK("https://klasma.github.io/Logging_0583/kartor/A 30955-2023 karta.png", "A 30955-2023")</f>
        <v/>
      </c>
      <c r="Y45">
        <f>HYPERLINK("https://klasma.github.io/Logging_0583/kartor_geotiff/A 30955-2023 georefererad karta.tif", "A 30955-2023")</f>
        <v/>
      </c>
      <c r="AA45">
        <f>HYPERLINK("https://klasma.github.io/Logging_0583/klagomål/A 30955-2023 FSC-klagomål.docx", "A 30955-2023")</f>
        <v/>
      </c>
      <c r="AB45">
        <f>HYPERLINK("https://klasma.github.io/Logging_0583/klagomålsmail/A 30955-2023 FSC-klagomål mail.docx", "A 30955-2023")</f>
        <v/>
      </c>
      <c r="AC45">
        <f>HYPERLINK("https://klasma.github.io/Logging_0583/tillsyn/A 30955-2023 tillsynsbegäran.docx", "A 30955-2023")</f>
        <v/>
      </c>
      <c r="AD45">
        <f>HYPERLINK("https://klasma.github.io/Logging_0583/tillsynsmail/A 30955-2023 tillsynsbegäran mail.docx", "A 30955-2023")</f>
        <v/>
      </c>
      <c r="AE45">
        <f>HYPERLINK("https://klasma.github.io/Logging_0583/fåglar/A 30955-2023 prioriterade fågelarter.docx", "A 30955-2023")</f>
        <v/>
      </c>
    </row>
    <row r="46" ht="15" customHeight="1">
      <c r="A46" t="inlineStr">
        <is>
          <t>A 18729-2025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45763</v>
      </c>
      <c r="E46" s="1" t="n">
        <v>46225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HYPERLINK("https://klasma.github.io/Logging_0583/artfynd/A 18729-2025 artfynd.xlsx", "A 18729-2025")</f>
        <v/>
      </c>
      <c r="X46">
        <f>HYPERLINK("https://klasma.github.io/Logging_0583/kartor/A 18729-2025 karta.png", "A 18729-2025")</f>
        <v/>
      </c>
      <c r="Y46">
        <f>HYPERLINK("https://klasma.github.io/Logging_0583/kartor_geotiff/A 18729-2025 georefererad karta.tif", "A 18729-2025")</f>
        <v/>
      </c>
      <c r="AA46">
        <f>HYPERLINK("https://klasma.github.io/Logging_0583/klagomål/A 18729-2025 FSC-klagomål.docx", "A 18729-2025")</f>
        <v/>
      </c>
      <c r="AB46">
        <f>HYPERLINK("https://klasma.github.io/Logging_0583/klagomålsmail/A 18729-2025 FSC-klagomål mail.docx", "A 18729-2025")</f>
        <v/>
      </c>
      <c r="AC46">
        <f>HYPERLINK("https://klasma.github.io/Logging_0583/tillsyn/A 18729-2025 tillsynsbegäran.docx", "A 18729-2025")</f>
        <v/>
      </c>
      <c r="AD46">
        <f>HYPERLINK("https://klasma.github.io/Logging_0583/tillsynsmail/A 18729-2025 tillsynsbegäran mail.docx", "A 18729-2025")</f>
        <v/>
      </c>
    </row>
    <row r="47" ht="15" customHeight="1">
      <c r="A47" t="inlineStr">
        <is>
          <t>A 21991-2023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46225</v>
      </c>
      <c r="F47" t="inlineStr">
        <is>
          <t>ÖSTERGÖTLANDS LÄN</t>
        </is>
      </c>
      <c r="G47" t="inlineStr">
        <is>
          <t>MOTALA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Vedtrappmossa</t>
        </is>
      </c>
      <c r="W47">
        <f>HYPERLINK("https://klasma.github.io/Logging_0583/artfynd/A 21991-2023 artfynd.xlsx", "A 21991-2023")</f>
        <v/>
      </c>
      <c r="X47">
        <f>HYPERLINK("https://klasma.github.io/Logging_0583/kartor/A 21991-2023 karta.png", "A 21991-2023")</f>
        <v/>
      </c>
      <c r="Y47">
        <f>HYPERLINK("https://klasma.github.io/Logging_0583/kartor_geotiff/A 21991-2023 georefererad karta.tif", "A 21991-2023")</f>
        <v/>
      </c>
      <c r="AA47">
        <f>HYPERLINK("https://klasma.github.io/Logging_0583/klagomål/A 21991-2023 FSC-klagomål.docx", "A 21991-2023")</f>
        <v/>
      </c>
      <c r="AB47">
        <f>HYPERLINK("https://klasma.github.io/Logging_0583/klagomålsmail/A 21991-2023 FSC-klagomål mail.docx", "A 21991-2023")</f>
        <v/>
      </c>
      <c r="AC47">
        <f>HYPERLINK("https://klasma.github.io/Logging_0583/tillsyn/A 21991-2023 tillsynsbegäran.docx", "A 21991-2023")</f>
        <v/>
      </c>
      <c r="AD47">
        <f>HYPERLINK("https://klasma.github.io/Logging_0583/tillsynsmail/A 21991-2023 tillsynsbegäran mail.docx", "A 21991-2023")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46225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Stubbspretmossa</t>
        </is>
      </c>
      <c r="W48">
        <f>HYPERLINK("https://klasma.github.io/Logging_0583/artfynd/A 12609-2025 artfynd.xlsx", "A 12609-2025")</f>
        <v/>
      </c>
      <c r="X48">
        <f>HYPERLINK("https://klasma.github.io/Logging_0583/kartor/A 12609-2025 karta.png", "A 12609-2025")</f>
        <v/>
      </c>
      <c r="Y48">
        <f>HYPERLINK("https://klasma.github.io/Logging_0583/kartor_geotiff/A 12609-2025 georefererad karta.tif", "A 12609-2025")</f>
        <v/>
      </c>
      <c r="AA48">
        <f>HYPERLINK("https://klasma.github.io/Logging_0583/klagomål/A 12609-2025 FSC-klagomål.docx", "A 12609-2025")</f>
        <v/>
      </c>
      <c r="AB48">
        <f>HYPERLINK("https://klasma.github.io/Logging_0583/klagomålsmail/A 12609-2025 FSC-klagomål mail.docx", "A 12609-2025")</f>
        <v/>
      </c>
      <c r="AC48">
        <f>HYPERLINK("https://klasma.github.io/Logging_0583/tillsyn/A 12609-2025 tillsynsbegäran.docx", "A 12609-2025")</f>
        <v/>
      </c>
      <c r="AD48">
        <f>HYPERLINK("https://klasma.github.io/Logging_0583/tillsynsmail/A 12609-2025 tillsynsbegäran mail.docx", "A 12609-2025")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46225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46225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46225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HYPERLINK("https://klasma.github.io/Logging_0583/artfynd/A 13690-2024 artfynd.xlsx", "A 13690-2024")</f>
        <v/>
      </c>
      <c r="X51">
        <f>HYPERLINK("https://klasma.github.io/Logging_0583/kartor/A 13690-2024 karta.png", "A 13690-2024")</f>
        <v/>
      </c>
      <c r="Y51">
        <f>HYPERLINK("https://klasma.github.io/Logging_0583/kartor_geotiff/A 13690-2024 georefererad karta.tif", "A 13690-2024")</f>
        <v/>
      </c>
      <c r="AA51">
        <f>HYPERLINK("https://klasma.github.io/Logging_0583/klagomål/A 13690-2024 FSC-klagomål.docx", "A 13690-2024")</f>
        <v/>
      </c>
      <c r="AB51">
        <f>HYPERLINK("https://klasma.github.io/Logging_0583/klagomålsmail/A 13690-2024 FSC-klagomål mail.docx", "A 13690-2024")</f>
        <v/>
      </c>
      <c r="AC51">
        <f>HYPERLINK("https://klasma.github.io/Logging_0583/tillsyn/A 13690-2024 tillsynsbegäran.docx", "A 13690-2024")</f>
        <v/>
      </c>
      <c r="AD51">
        <f>HYPERLINK("https://klasma.github.io/Logging_0583/tillsynsmail/A 13690-2024 tillsynsbegäran mail.docx", "A 13690-2024")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46225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46225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46225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46225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46225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46225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46225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46225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46225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46225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46225</v>
      </c>
      <c r="F62" t="inlineStr">
        <is>
          <t>ÖSTERGÖTLANDS LÄN</t>
        </is>
      </c>
      <c r="G62" t="inlineStr">
        <is>
          <t>MOTALA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46225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46225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46225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46225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46225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46225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46225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46225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46225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46225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46225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39494-2021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44414</v>
      </c>
      <c r="E74" s="1" t="n">
        <v>46225</v>
      </c>
      <c r="F74" t="inlineStr">
        <is>
          <t>ÖSTERGÖTLANDS LÄN</t>
        </is>
      </c>
      <c r="G74" t="inlineStr">
        <is>
          <t>MOTALA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46225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46225</v>
      </c>
      <c r="F76" t="inlineStr">
        <is>
          <t>ÖSTERGÖTLANDS LÄN</t>
        </is>
      </c>
      <c r="G76" t="inlineStr">
        <is>
          <t>MOTALA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46225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44677</v>
      </c>
      <c r="E78" s="1" t="n">
        <v>46225</v>
      </c>
      <c r="F78" t="inlineStr">
        <is>
          <t>ÖSTERGÖTLANDS LÄN</t>
        </is>
      </c>
      <c r="G78" t="inlineStr">
        <is>
          <t>MOTALA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44819</v>
      </c>
      <c r="E79" s="1" t="n">
        <v>46225</v>
      </c>
      <c r="F79" t="inlineStr">
        <is>
          <t>ÖSTERGÖTLANDS LÄN</t>
        </is>
      </c>
      <c r="G79" t="inlineStr">
        <is>
          <t>MOTALA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46225</v>
      </c>
      <c r="F80" t="inlineStr">
        <is>
          <t>ÖSTERGÖTLANDS LÄN</t>
        </is>
      </c>
      <c r="G80" t="inlineStr">
        <is>
          <t>MOTALA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46225</v>
      </c>
      <c r="F81" t="inlineStr">
        <is>
          <t>ÖSTERGÖTLANDS LÄN</t>
        </is>
      </c>
      <c r="G81" t="inlineStr">
        <is>
          <t>MOTALA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46225</v>
      </c>
      <c r="F82" t="inlineStr">
        <is>
          <t>ÖSTERGÖTLANDS LÄN</t>
        </is>
      </c>
      <c r="G82" t="inlineStr">
        <is>
          <t>MOTALA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44431</v>
      </c>
      <c r="E83" s="1" t="n">
        <v>46225</v>
      </c>
      <c r="F83" t="inlineStr">
        <is>
          <t>ÖSTERGÖTLANDS LÄN</t>
        </is>
      </c>
      <c r="G83" t="inlineStr">
        <is>
          <t>MOTALA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46225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46225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46225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46225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46225</v>
      </c>
      <c r="F88" t="inlineStr">
        <is>
          <t>ÖSTERGÖTLANDS LÄN</t>
        </is>
      </c>
      <c r="G88" t="inlineStr">
        <is>
          <t>MOTALA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46225</v>
      </c>
      <c r="F89" t="inlineStr">
        <is>
          <t>ÖSTERGÖTLANDS LÄN</t>
        </is>
      </c>
      <c r="G89" t="inlineStr">
        <is>
          <t>MOTALA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46225</v>
      </c>
      <c r="F90" t="inlineStr">
        <is>
          <t>ÖSTERGÖTLANDS LÄN</t>
        </is>
      </c>
      <c r="G90" t="inlineStr">
        <is>
          <t>MOTALA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46225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46225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46225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46225</v>
      </c>
      <c r="F94" t="inlineStr">
        <is>
          <t>ÖSTERGÖTLANDS LÄN</t>
        </is>
      </c>
      <c r="G94" t="inlineStr">
        <is>
          <t>MOTALA</t>
        </is>
      </c>
      <c r="I94" t="n">
        <v>13.6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44617</v>
      </c>
      <c r="E95" s="1" t="n">
        <v>46225</v>
      </c>
      <c r="F95" t="inlineStr">
        <is>
          <t>ÖSTERGÖTLANDS LÄN</t>
        </is>
      </c>
      <c r="G95" t="inlineStr">
        <is>
          <t>MOTALA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46225</v>
      </c>
      <c r="F96" t="inlineStr">
        <is>
          <t>ÖSTERGÖTLANDS LÄN</t>
        </is>
      </c>
      <c r="G96" t="inlineStr">
        <is>
          <t>MOTALA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46225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46225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44740</v>
      </c>
      <c r="E99" s="1" t="n">
        <v>46225</v>
      </c>
      <c r="F99" t="inlineStr">
        <is>
          <t>ÖSTERGÖTLANDS LÄN</t>
        </is>
      </c>
      <c r="G99" t="inlineStr">
        <is>
          <t>MOTALA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46225</v>
      </c>
      <c r="F100" t="inlineStr">
        <is>
          <t>ÖSTERGÖTLANDS LÄN</t>
        </is>
      </c>
      <c r="G100" t="inlineStr">
        <is>
          <t>MOTALA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55119-2021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46225</v>
      </c>
      <c r="F101" t="inlineStr">
        <is>
          <t>ÖSTERGÖTLANDS LÄN</t>
        </is>
      </c>
      <c r="G101" t="inlineStr">
        <is>
          <t>MOTALA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49787-2021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44455</v>
      </c>
      <c r="E102" s="1" t="n">
        <v>46225</v>
      </c>
      <c r="F102" t="inlineStr">
        <is>
          <t>ÖSTERGÖTLANDS LÄN</t>
        </is>
      </c>
      <c r="G102" t="inlineStr">
        <is>
          <t>MOTALA</t>
        </is>
      </c>
      <c r="I102" t="n">
        <v>11.9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44571</v>
      </c>
      <c r="E103" s="1" t="n">
        <v>46225</v>
      </c>
      <c r="F103" t="inlineStr">
        <is>
          <t>ÖSTERGÖTLANDS LÄN</t>
        </is>
      </c>
      <c r="G103" t="inlineStr">
        <is>
          <t>MOTALA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37496-2022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44809</v>
      </c>
      <c r="E104" s="1" t="n">
        <v>46225</v>
      </c>
      <c r="F104" t="inlineStr">
        <is>
          <t>ÖSTERGÖTLANDS LÄN</t>
        </is>
      </c>
      <c r="G104" t="inlineStr">
        <is>
          <t>MOTALA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46225</v>
      </c>
      <c r="F105" t="inlineStr">
        <is>
          <t>ÖSTERGÖTLANDS LÄN</t>
        </is>
      </c>
      <c r="G105" t="inlineStr">
        <is>
          <t>MOTALA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46225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46225</v>
      </c>
      <c r="F107" t="inlineStr">
        <is>
          <t>ÖSTERGÖTLANDS LÄN</t>
        </is>
      </c>
      <c r="G107" t="inlineStr">
        <is>
          <t>MOTALA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46225</v>
      </c>
      <c r="F108" t="inlineStr">
        <is>
          <t>ÖSTERGÖTLANDS LÄN</t>
        </is>
      </c>
      <c r="G108" t="inlineStr">
        <is>
          <t>MOTALA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46225</v>
      </c>
      <c r="F109" t="inlineStr">
        <is>
          <t>ÖSTERGÖTLANDS LÄN</t>
        </is>
      </c>
      <c r="G109" t="inlineStr">
        <is>
          <t>MOTALA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46225</v>
      </c>
      <c r="F110" t="inlineStr">
        <is>
          <t>ÖSTERGÖTLANDS LÄN</t>
        </is>
      </c>
      <c r="G110" t="inlineStr">
        <is>
          <t>MOTALA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46225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46225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46225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46225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46225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68288-2021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44526</v>
      </c>
      <c r="E116" s="1" t="n">
        <v>46225</v>
      </c>
      <c r="F116" t="inlineStr">
        <is>
          <t>ÖSTERGÖTLANDS LÄN</t>
        </is>
      </c>
      <c r="G116" t="inlineStr">
        <is>
          <t>MOTALA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46225</v>
      </c>
      <c r="F117" t="inlineStr">
        <is>
          <t>ÖSTERGÖTLANDS LÄN</t>
        </is>
      </c>
      <c r="G117" t="inlineStr">
        <is>
          <t>MOTALA</t>
        </is>
      </c>
      <c r="H117" t="inlineStr">
        <is>
          <t>Övriga statliga verk och myndigheter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68348-2021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44528</v>
      </c>
      <c r="E118" s="1" t="n">
        <v>46225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46225</v>
      </c>
      <c r="F119" t="inlineStr">
        <is>
          <t>ÖSTERGÖTLANDS LÄN</t>
        </is>
      </c>
      <c r="G119" t="inlineStr">
        <is>
          <t>MOTALA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66199-2021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46225</v>
      </c>
      <c r="F120" t="inlineStr">
        <is>
          <t>ÖSTERGÖTLANDS LÄN</t>
        </is>
      </c>
      <c r="G120" t="inlineStr">
        <is>
          <t>MOTALA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46225</v>
      </c>
      <c r="F121" t="inlineStr">
        <is>
          <t>ÖSTERGÖTLANDS LÄN</t>
        </is>
      </c>
      <c r="G121" t="inlineStr">
        <is>
          <t>MOTALA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46225</v>
      </c>
      <c r="F122" t="inlineStr">
        <is>
          <t>ÖSTERGÖTLANDS LÄN</t>
        </is>
      </c>
      <c r="G122" t="inlineStr">
        <is>
          <t>MOTALA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46225</v>
      </c>
      <c r="F123" t="inlineStr">
        <is>
          <t>ÖSTERGÖTLANDS LÄN</t>
        </is>
      </c>
      <c r="G123" t="inlineStr">
        <is>
          <t>MOTALA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46225</v>
      </c>
      <c r="F124" t="inlineStr">
        <is>
          <t>ÖSTERGÖTLANDS LÄN</t>
        </is>
      </c>
      <c r="G124" t="inlineStr">
        <is>
          <t>MOTALA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46225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46225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50126-2023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46225</v>
      </c>
      <c r="F127" t="inlineStr">
        <is>
          <t>ÖSTERGÖTLANDS LÄN</t>
        </is>
      </c>
      <c r="G127" t="inlineStr">
        <is>
          <t>MOTALA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46225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12258-2024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46225</v>
      </c>
      <c r="F129" t="inlineStr">
        <is>
          <t>ÖSTERGÖTLANDS LÄN</t>
        </is>
      </c>
      <c r="G129" t="inlineStr">
        <is>
          <t>MOTALA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44776</v>
      </c>
      <c r="E130" s="1" t="n">
        <v>46225</v>
      </c>
      <c r="F130" t="inlineStr">
        <is>
          <t>ÖSTERGÖTLANDS LÄN</t>
        </is>
      </c>
      <c r="G130" t="inlineStr">
        <is>
          <t>MOTALA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46225</v>
      </c>
      <c r="F131" t="inlineStr">
        <is>
          <t>ÖSTERGÖTLANDS LÄN</t>
        </is>
      </c>
      <c r="G131" t="inlineStr">
        <is>
          <t>MOTALA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45377</v>
      </c>
      <c r="E132" s="1" t="n">
        <v>46225</v>
      </c>
      <c r="F132" t="inlineStr">
        <is>
          <t>ÖSTERGÖTLANDS LÄN</t>
        </is>
      </c>
      <c r="G132" t="inlineStr">
        <is>
          <t>MOTALA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46225</v>
      </c>
      <c r="F133" t="inlineStr">
        <is>
          <t>ÖSTERGÖTLANDS LÄN</t>
        </is>
      </c>
      <c r="G133" t="inlineStr">
        <is>
          <t>MOTALA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21201-2024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45440</v>
      </c>
      <c r="E134" s="1" t="n">
        <v>46225</v>
      </c>
      <c r="F134" t="inlineStr">
        <is>
          <t>ÖSTERGÖTLANDS LÄN</t>
        </is>
      </c>
      <c r="G134" t="inlineStr">
        <is>
          <t>MOTALA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46681-2021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44445</v>
      </c>
      <c r="E135" s="1" t="n">
        <v>46225</v>
      </c>
      <c r="F135" t="inlineStr">
        <is>
          <t>ÖSTERGÖTLANDS LÄN</t>
        </is>
      </c>
      <c r="G135" t="inlineStr">
        <is>
          <t>MOTALA</t>
        </is>
      </c>
      <c r="H135" t="inlineStr">
        <is>
          <t>Övriga statliga verk och myndigheter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45427</v>
      </c>
      <c r="E136" s="1" t="n">
        <v>46225</v>
      </c>
      <c r="F136" t="inlineStr">
        <is>
          <t>ÖSTERGÖTLANDS LÄN</t>
        </is>
      </c>
      <c r="G136" t="inlineStr">
        <is>
          <t>MOTALA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44830</v>
      </c>
      <c r="E137" s="1" t="n">
        <v>46225</v>
      </c>
      <c r="F137" t="inlineStr">
        <is>
          <t>ÖSTERGÖTLANDS LÄN</t>
        </is>
      </c>
      <c r="G137" t="inlineStr">
        <is>
          <t>MOTALA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46225</v>
      </c>
      <c r="F138" t="inlineStr">
        <is>
          <t>ÖSTERGÖTLANDS LÄN</t>
        </is>
      </c>
      <c r="G138" t="inlineStr">
        <is>
          <t>MOTALA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45387</v>
      </c>
      <c r="E139" s="1" t="n">
        <v>46225</v>
      </c>
      <c r="F139" t="inlineStr">
        <is>
          <t>ÖSTERGÖTLANDS LÄN</t>
        </is>
      </c>
      <c r="G139" t="inlineStr">
        <is>
          <t>MOTALA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44853</v>
      </c>
      <c r="E140" s="1" t="n">
        <v>46225</v>
      </c>
      <c r="F140" t="inlineStr">
        <is>
          <t>ÖSTERGÖTLANDS LÄN</t>
        </is>
      </c>
      <c r="G140" t="inlineStr">
        <is>
          <t>MOTALA</t>
        </is>
      </c>
      <c r="H140" t="inlineStr">
        <is>
          <t>Övriga statliga verk och myndigheter</t>
        </is>
      </c>
      <c r="I140" t="n">
        <v>11.3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45526</v>
      </c>
      <c r="E141" s="1" t="n">
        <v>46225</v>
      </c>
      <c r="F141" t="inlineStr">
        <is>
          <t>ÖSTERGÖTLANDS LÄN</t>
        </is>
      </c>
      <c r="G141" t="inlineStr">
        <is>
          <t>MOTALA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46225</v>
      </c>
      <c r="F142" t="inlineStr">
        <is>
          <t>ÖSTERGÖTLANDS LÄN</t>
        </is>
      </c>
      <c r="G142" t="inlineStr">
        <is>
          <t>MOTALA</t>
        </is>
      </c>
      <c r="H142" t="inlineStr">
        <is>
          <t>Sveaskog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45470</v>
      </c>
      <c r="E143" s="1" t="n">
        <v>46225</v>
      </c>
      <c r="F143" t="inlineStr">
        <is>
          <t>ÖSTERGÖTLANDS LÄN</t>
        </is>
      </c>
      <c r="G143" t="inlineStr">
        <is>
          <t>MOTALA</t>
        </is>
      </c>
      <c r="H143" t="inlineStr">
        <is>
          <t>Sveaskog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45279</v>
      </c>
      <c r="E144" s="1" t="n">
        <v>46225</v>
      </c>
      <c r="F144" t="inlineStr">
        <is>
          <t>ÖSTERGÖTLANDS LÄN</t>
        </is>
      </c>
      <c r="G144" t="inlineStr">
        <is>
          <t>MOTALA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45279</v>
      </c>
      <c r="E145" s="1" t="n">
        <v>46225</v>
      </c>
      <c r="F145" t="inlineStr">
        <is>
          <t>ÖSTERGÖTLANDS LÄN</t>
        </is>
      </c>
      <c r="G145" t="inlineStr">
        <is>
          <t>MOTALA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46225</v>
      </c>
      <c r="F146" t="inlineStr">
        <is>
          <t>ÖSTERGÖTLANDS LÄN</t>
        </is>
      </c>
      <c r="G146" t="inlineStr">
        <is>
          <t>MOTALA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46225</v>
      </c>
      <c r="F147" t="inlineStr">
        <is>
          <t>ÖSTERGÖTLANDS LÄN</t>
        </is>
      </c>
      <c r="G147" t="inlineStr">
        <is>
          <t>MOTALA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46225</v>
      </c>
      <c r="F148" t="inlineStr">
        <is>
          <t>ÖSTERGÖTLANDS LÄN</t>
        </is>
      </c>
      <c r="G148" t="inlineStr">
        <is>
          <t>MOTALA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64175-2023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45279</v>
      </c>
      <c r="E149" s="1" t="n">
        <v>46225</v>
      </c>
      <c r="F149" t="inlineStr">
        <is>
          <t>ÖSTERGÖTLANDS LÄN</t>
        </is>
      </c>
      <c r="G149" t="inlineStr">
        <is>
          <t>MOTALA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45092</v>
      </c>
      <c r="E150" s="1" t="n">
        <v>46225</v>
      </c>
      <c r="F150" t="inlineStr">
        <is>
          <t>ÖSTERGÖTLANDS LÄN</t>
        </is>
      </c>
      <c r="G150" t="inlineStr">
        <is>
          <t>MOTALA</t>
        </is>
      </c>
      <c r="H150" t="inlineStr">
        <is>
          <t>Övriga statliga verk och myndigheter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44942</v>
      </c>
      <c r="E151" s="1" t="n">
        <v>46225</v>
      </c>
      <c r="F151" t="inlineStr">
        <is>
          <t>ÖSTERGÖTLANDS LÄN</t>
        </is>
      </c>
      <c r="G151" t="inlineStr">
        <is>
          <t>MOTALA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46225</v>
      </c>
      <c r="F152" t="inlineStr">
        <is>
          <t>ÖSTERGÖTLANDS LÄN</t>
        </is>
      </c>
      <c r="G152" t="inlineStr">
        <is>
          <t>MOTALA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46225</v>
      </c>
      <c r="F153" t="inlineStr">
        <is>
          <t>ÖSTERGÖTLANDS LÄN</t>
        </is>
      </c>
      <c r="G153" t="inlineStr">
        <is>
          <t>MOTALA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46225</v>
      </c>
      <c r="F154" t="inlineStr">
        <is>
          <t>ÖSTERGÖTLANDS LÄN</t>
        </is>
      </c>
      <c r="G154" t="inlineStr">
        <is>
          <t>MOTALA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46225</v>
      </c>
      <c r="F155" t="inlineStr">
        <is>
          <t>ÖSTERGÖTLANDS LÄN</t>
        </is>
      </c>
      <c r="G155" t="inlineStr">
        <is>
          <t>MOTALA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46225</v>
      </c>
      <c r="F156" t="inlineStr">
        <is>
          <t>ÖSTERGÖTLANDS LÄN</t>
        </is>
      </c>
      <c r="G156" t="inlineStr">
        <is>
          <t>MOTALA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44901</v>
      </c>
      <c r="E157" s="1" t="n">
        <v>46225</v>
      </c>
      <c r="F157" t="inlineStr">
        <is>
          <t>ÖSTERGÖTLANDS LÄN</t>
        </is>
      </c>
      <c r="G157" t="inlineStr">
        <is>
          <t>MOTALA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30606-2023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46225</v>
      </c>
      <c r="F158" t="inlineStr">
        <is>
          <t>ÖSTERGÖTLANDS LÄN</t>
        </is>
      </c>
      <c r="G158" t="inlineStr">
        <is>
          <t>MOTALA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46055</v>
      </c>
      <c r="E159" s="1" t="n">
        <v>46225</v>
      </c>
      <c r="F159" t="inlineStr">
        <is>
          <t>ÖSTERGÖTLANDS LÄN</t>
        </is>
      </c>
      <c r="G159" t="inlineStr">
        <is>
          <t>MOTALA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46225</v>
      </c>
      <c r="F160" t="inlineStr">
        <is>
          <t>ÖSTERGÖTLANDS LÄN</t>
        </is>
      </c>
      <c r="G160" t="inlineStr">
        <is>
          <t>MOTALA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46225</v>
      </c>
      <c r="F161" t="inlineStr">
        <is>
          <t>ÖSTERGÖTLANDS LÄN</t>
        </is>
      </c>
      <c r="G161" t="inlineStr">
        <is>
          <t>MOTALA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7358-2026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46058</v>
      </c>
      <c r="E162" s="1" t="n">
        <v>46225</v>
      </c>
      <c r="F162" t="inlineStr">
        <is>
          <t>ÖSTERGÖTLANDS LÄN</t>
        </is>
      </c>
      <c r="G162" t="inlineStr">
        <is>
          <t>MOTALA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46225</v>
      </c>
      <c r="F163" t="inlineStr">
        <is>
          <t>ÖSTERGÖTLANDS LÄN</t>
        </is>
      </c>
      <c r="G163" t="inlineStr">
        <is>
          <t>MOTALA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46061</v>
      </c>
      <c r="E164" s="1" t="n">
        <v>46225</v>
      </c>
      <c r="F164" t="inlineStr">
        <is>
          <t>ÖSTERGÖTLANDS LÄN</t>
        </is>
      </c>
      <c r="G164" t="inlineStr">
        <is>
          <t>MOTALA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46225</v>
      </c>
      <c r="F165" t="inlineStr">
        <is>
          <t>ÖSTERGÖTLANDS LÄN</t>
        </is>
      </c>
      <c r="G165" t="inlineStr">
        <is>
          <t>MOTALA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8153-2026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46225</v>
      </c>
      <c r="F166" t="inlineStr">
        <is>
          <t>ÖSTERGÖTLANDS LÄN</t>
        </is>
      </c>
      <c r="G166" t="inlineStr">
        <is>
          <t>MOTALA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46225</v>
      </c>
      <c r="F167" t="inlineStr">
        <is>
          <t>ÖSTERGÖTLANDS LÄN</t>
        </is>
      </c>
      <c r="G167" t="inlineStr">
        <is>
          <t>MOTALA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46225</v>
      </c>
      <c r="F168" t="inlineStr">
        <is>
          <t>ÖSTERGÖTLANDS LÄN</t>
        </is>
      </c>
      <c r="G168" t="inlineStr">
        <is>
          <t>MOTALA</t>
        </is>
      </c>
      <c r="H168" t="inlineStr">
        <is>
          <t>Sveaskog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46225</v>
      </c>
      <c r="F169" t="inlineStr">
        <is>
          <t>ÖSTERGÖTLANDS LÄN</t>
        </is>
      </c>
      <c r="G169" t="inlineStr">
        <is>
          <t>MOTALA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46225</v>
      </c>
      <c r="F170" t="inlineStr">
        <is>
          <t>ÖSTERGÖTLANDS LÄN</t>
        </is>
      </c>
      <c r="G170" t="inlineStr">
        <is>
          <t>MOTALA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46225</v>
      </c>
      <c r="F171" t="inlineStr">
        <is>
          <t>ÖSTERGÖTLANDS LÄN</t>
        </is>
      </c>
      <c r="G171" t="inlineStr">
        <is>
          <t>MOTALA</t>
        </is>
      </c>
      <c r="H171" t="inlineStr">
        <is>
          <t>Sveaskog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8788-2026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46225</v>
      </c>
      <c r="F172" t="inlineStr">
        <is>
          <t>ÖSTERGÖTLANDS LÄN</t>
        </is>
      </c>
      <c r="G172" t="inlineStr">
        <is>
          <t>MOTALA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8781-2026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46225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46225</v>
      </c>
      <c r="F174" t="inlineStr">
        <is>
          <t>ÖSTERGÖTLANDS LÄN</t>
        </is>
      </c>
      <c r="G174" t="inlineStr">
        <is>
          <t>MOTALA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46225</v>
      </c>
      <c r="F175" t="inlineStr">
        <is>
          <t>ÖSTERGÖTLANDS LÄN</t>
        </is>
      </c>
      <c r="G175" t="inlineStr">
        <is>
          <t>MOTALA</t>
        </is>
      </c>
      <c r="H175" t="inlineStr">
        <is>
          <t>Sveaskog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46225</v>
      </c>
      <c r="F176" t="inlineStr">
        <is>
          <t>ÖSTERGÖTLANDS LÄN</t>
        </is>
      </c>
      <c r="G176" t="inlineStr">
        <is>
          <t>MOTALA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46225</v>
      </c>
      <c r="F177" t="inlineStr">
        <is>
          <t>ÖSTERGÖTLANDS LÄN</t>
        </is>
      </c>
      <c r="G177" t="inlineStr">
        <is>
          <t>MOTALA</t>
        </is>
      </c>
      <c r="H177" t="inlineStr">
        <is>
          <t>Sveaskog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46225</v>
      </c>
      <c r="F178" t="inlineStr">
        <is>
          <t>ÖSTERGÖTLANDS LÄN</t>
        </is>
      </c>
      <c r="G178" t="inlineStr">
        <is>
          <t>MOTALA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46225</v>
      </c>
      <c r="F179" t="inlineStr">
        <is>
          <t>ÖSTERGÖTLANDS LÄN</t>
        </is>
      </c>
      <c r="G179" t="inlineStr">
        <is>
          <t>MOTALA</t>
        </is>
      </c>
      <c r="H179" t="inlineStr">
        <is>
          <t>Sveaskog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46225</v>
      </c>
      <c r="F180" t="inlineStr">
        <is>
          <t>ÖSTERGÖTLANDS LÄN</t>
        </is>
      </c>
      <c r="G180" t="inlineStr">
        <is>
          <t>MOTALA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9002-2026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46225</v>
      </c>
      <c r="F181" t="inlineStr">
        <is>
          <t>ÖSTERGÖTLANDS LÄN</t>
        </is>
      </c>
      <c r="G181" t="inlineStr">
        <is>
          <t>MOTALA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27896-2025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45817</v>
      </c>
      <c r="E182" s="1" t="n">
        <v>46225</v>
      </c>
      <c r="F182" t="inlineStr">
        <is>
          <t>ÖSTERGÖTLANDS LÄN</t>
        </is>
      </c>
      <c r="G182" t="inlineStr">
        <is>
          <t>MOTALA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45316</v>
      </c>
      <c r="E183" s="1" t="n">
        <v>46225</v>
      </c>
      <c r="F183" t="inlineStr">
        <is>
          <t>ÖSTERGÖTLANDS LÄN</t>
        </is>
      </c>
      <c r="G183" t="inlineStr">
        <is>
          <t>MOTALA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45575</v>
      </c>
      <c r="E184" s="1" t="n">
        <v>46225</v>
      </c>
      <c r="F184" t="inlineStr">
        <is>
          <t>ÖSTERGÖTLANDS LÄN</t>
        </is>
      </c>
      <c r="G184" t="inlineStr">
        <is>
          <t>MOTALA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10510-2026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46077</v>
      </c>
      <c r="E185" s="1" t="n">
        <v>46225</v>
      </c>
      <c r="F185" t="inlineStr">
        <is>
          <t>ÖSTERGÖTLANDS LÄN</t>
        </is>
      </c>
      <c r="G185" t="inlineStr">
        <is>
          <t>MOTALA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46225</v>
      </c>
      <c r="F186" t="inlineStr">
        <is>
          <t>ÖSTERGÖTLANDS LÄN</t>
        </is>
      </c>
      <c r="G186" t="inlineStr">
        <is>
          <t>MOTALA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46225</v>
      </c>
      <c r="F187" t="inlineStr">
        <is>
          <t>ÖSTERGÖTLANDS LÄN</t>
        </is>
      </c>
      <c r="G187" t="inlineStr">
        <is>
          <t>MOTALA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11317-2026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46080</v>
      </c>
      <c r="E188" s="1" t="n">
        <v>46225</v>
      </c>
      <c r="F188" t="inlineStr">
        <is>
          <t>ÖSTERGÖTLANDS LÄN</t>
        </is>
      </c>
      <c r="G188" t="inlineStr">
        <is>
          <t>MOTALA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46225</v>
      </c>
      <c r="F189" t="inlineStr">
        <is>
          <t>ÖSTERGÖTLANDS LÄN</t>
        </is>
      </c>
      <c r="G189" t="inlineStr">
        <is>
          <t>MOTALA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46080</v>
      </c>
      <c r="E190" s="1" t="n">
        <v>46225</v>
      </c>
      <c r="F190" t="inlineStr">
        <is>
          <t>ÖSTERGÖTLANDS LÄN</t>
        </is>
      </c>
      <c r="G190" t="inlineStr">
        <is>
          <t>MOTALA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11318-2026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46080</v>
      </c>
      <c r="E191" s="1" t="n">
        <v>46225</v>
      </c>
      <c r="F191" t="inlineStr">
        <is>
          <t>ÖSTERGÖTLANDS LÄN</t>
        </is>
      </c>
      <c r="G191" t="inlineStr">
        <is>
          <t>MOTALA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46080</v>
      </c>
      <c r="E192" s="1" t="n">
        <v>46225</v>
      </c>
      <c r="F192" t="inlineStr">
        <is>
          <t>ÖSTERGÖTLANDS LÄN</t>
        </is>
      </c>
      <c r="G192" t="inlineStr">
        <is>
          <t>MOTALA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26350-2025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46225</v>
      </c>
      <c r="F193" t="inlineStr">
        <is>
          <t>ÖSTERGÖTLANDS LÄN</t>
        </is>
      </c>
      <c r="G193" t="inlineStr">
        <is>
          <t>MOTALA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46080</v>
      </c>
      <c r="E194" s="1" t="n">
        <v>46225</v>
      </c>
      <c r="F194" t="inlineStr">
        <is>
          <t>ÖSTERGÖTLANDS LÄN</t>
        </is>
      </c>
      <c r="G194" t="inlineStr">
        <is>
          <t>MOTALA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46225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46225</v>
      </c>
      <c r="F196" t="inlineStr">
        <is>
          <t>ÖSTERGÖTLANDS LÄN</t>
        </is>
      </c>
      <c r="G196" t="inlineStr">
        <is>
          <t>MOTALA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46225</v>
      </c>
      <c r="F197" t="inlineStr">
        <is>
          <t>ÖSTERGÖTLANDS LÄN</t>
        </is>
      </c>
      <c r="G197" t="inlineStr">
        <is>
          <t>MOTALA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46225</v>
      </c>
      <c r="F198" t="inlineStr">
        <is>
          <t>ÖSTERGÖTLANDS LÄN</t>
        </is>
      </c>
      <c r="G198" t="inlineStr">
        <is>
          <t>MOTALA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46225</v>
      </c>
      <c r="F199" t="inlineStr">
        <is>
          <t>ÖSTERGÖTLANDS LÄN</t>
        </is>
      </c>
      <c r="G199" t="inlineStr">
        <is>
          <t>MOTALA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46225</v>
      </c>
      <c r="F200" t="inlineStr">
        <is>
          <t>ÖSTERGÖTLANDS LÄN</t>
        </is>
      </c>
      <c r="G200" t="inlineStr">
        <is>
          <t>MOTALA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46225</v>
      </c>
      <c r="F201" t="inlineStr">
        <is>
          <t>ÖSTERGÖTLANDS LÄN</t>
        </is>
      </c>
      <c r="G201" t="inlineStr">
        <is>
          <t>MOTALA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46225</v>
      </c>
      <c r="F202" t="inlineStr">
        <is>
          <t>ÖSTERGÖTLANDS LÄN</t>
        </is>
      </c>
      <c r="G202" t="inlineStr">
        <is>
          <t>MOTALA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46225</v>
      </c>
      <c r="F203" t="inlineStr">
        <is>
          <t>ÖSTERGÖTLANDS LÄN</t>
        </is>
      </c>
      <c r="G203" t="inlineStr">
        <is>
          <t>MOTALA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46225</v>
      </c>
      <c r="F204" t="inlineStr">
        <is>
          <t>ÖSTERGÖTLANDS LÄN</t>
        </is>
      </c>
      <c r="G204" t="inlineStr">
        <is>
          <t>MOTALA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46091</v>
      </c>
      <c r="E205" s="1" t="n">
        <v>46225</v>
      </c>
      <c r="F205" t="inlineStr">
        <is>
          <t>ÖSTERGÖTLANDS LÄN</t>
        </is>
      </c>
      <c r="G205" t="inlineStr">
        <is>
          <t>MOTALA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46225</v>
      </c>
      <c r="F206" t="inlineStr">
        <is>
          <t>ÖSTERGÖTLANDS LÄN</t>
        </is>
      </c>
      <c r="G206" t="inlineStr">
        <is>
          <t>MOTALA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46225</v>
      </c>
      <c r="F207" t="inlineStr">
        <is>
          <t>ÖSTERGÖTLANDS LÄN</t>
        </is>
      </c>
      <c r="G207" t="inlineStr">
        <is>
          <t>MOTALA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12968-2026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46092</v>
      </c>
      <c r="E208" s="1" t="n">
        <v>46225</v>
      </c>
      <c r="F208" t="inlineStr">
        <is>
          <t>ÖSTERGÖTLANDS LÄN</t>
        </is>
      </c>
      <c r="G208" t="inlineStr">
        <is>
          <t>MOTALA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12989-2026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46092</v>
      </c>
      <c r="E209" s="1" t="n">
        <v>46225</v>
      </c>
      <c r="F209" t="inlineStr">
        <is>
          <t>ÖSTERGÖTLANDS LÄN</t>
        </is>
      </c>
      <c r="G209" t="inlineStr">
        <is>
          <t>MOTALA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46092</v>
      </c>
      <c r="E210" s="1" t="n">
        <v>46225</v>
      </c>
      <c r="F210" t="inlineStr">
        <is>
          <t>ÖSTERGÖTLANDS LÄN</t>
        </is>
      </c>
      <c r="G210" t="inlineStr">
        <is>
          <t>MOTALA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46225</v>
      </c>
      <c r="F211" t="inlineStr">
        <is>
          <t>ÖSTERGÖTLANDS LÄN</t>
        </is>
      </c>
      <c r="G211" t="inlineStr">
        <is>
          <t>MOTALA</t>
        </is>
      </c>
      <c r="H211" t="inlineStr">
        <is>
          <t>Sveaskog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46225</v>
      </c>
      <c r="F212" t="inlineStr">
        <is>
          <t>ÖSTERGÖTLANDS LÄN</t>
        </is>
      </c>
      <c r="G212" t="inlineStr">
        <is>
          <t>MOTALA</t>
        </is>
      </c>
      <c r="H212" t="inlineStr">
        <is>
          <t>Sveaskog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46094</v>
      </c>
      <c r="E213" s="1" t="n">
        <v>46225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44868-2024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45575</v>
      </c>
      <c r="E214" s="1" t="n">
        <v>46225</v>
      </c>
      <c r="F214" t="inlineStr">
        <is>
          <t>ÖSTERGÖTLANDS LÄN</t>
        </is>
      </c>
      <c r="G214" t="inlineStr">
        <is>
          <t>MOTALA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46094</v>
      </c>
      <c r="E215" s="1" t="n">
        <v>46225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46225</v>
      </c>
      <c r="F216" t="inlineStr">
        <is>
          <t>ÖSTERGÖTLANDS LÄN</t>
        </is>
      </c>
      <c r="G216" t="inlineStr">
        <is>
          <t>MOTALA</t>
        </is>
      </c>
      <c r="H216" t="inlineStr">
        <is>
          <t>Sveaskog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46225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49456-2025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45939</v>
      </c>
      <c r="E218" s="1" t="n">
        <v>46225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46100</v>
      </c>
      <c r="E219" s="1" t="n">
        <v>46225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12.9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46104</v>
      </c>
      <c r="E220" s="1" t="n">
        <v>46225</v>
      </c>
      <c r="F220" t="inlineStr">
        <is>
          <t>ÖSTERGÖTLANDS LÄN</t>
        </is>
      </c>
      <c r="G220" t="inlineStr">
        <is>
          <t>MOTALA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15076-2026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46225</v>
      </c>
      <c r="F221" t="inlineStr">
        <is>
          <t>ÖSTERGÖTLANDS LÄN</t>
        </is>
      </c>
      <c r="G221" t="inlineStr">
        <is>
          <t>MOTALA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46225</v>
      </c>
      <c r="F222" t="inlineStr">
        <is>
          <t>ÖSTERGÖTLANDS LÄN</t>
        </is>
      </c>
      <c r="G222" t="inlineStr">
        <is>
          <t>MOTALA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15331-2026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46225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46225</v>
      </c>
      <c r="F224" t="inlineStr">
        <is>
          <t>ÖSTERGÖTLANDS LÄN</t>
        </is>
      </c>
      <c r="G224" t="inlineStr">
        <is>
          <t>MOTALA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15551-2026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46106</v>
      </c>
      <c r="E225" s="1" t="n">
        <v>46225</v>
      </c>
      <c r="F225" t="inlineStr">
        <is>
          <t>ÖSTERGÖTLANDS LÄN</t>
        </is>
      </c>
      <c r="G225" t="inlineStr">
        <is>
          <t>MOTALA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46225</v>
      </c>
      <c r="F226" t="inlineStr">
        <is>
          <t>ÖSTERGÖTLANDS LÄN</t>
        </is>
      </c>
      <c r="G226" t="inlineStr">
        <is>
          <t>MOTALA</t>
        </is>
      </c>
      <c r="I226" t="n">
        <v>7.6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49627-2021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44455</v>
      </c>
      <c r="E227" s="1" t="n">
        <v>46225</v>
      </c>
      <c r="F227" t="inlineStr">
        <is>
          <t>ÖSTERGÖTLANDS LÄN</t>
        </is>
      </c>
      <c r="G227" t="inlineStr">
        <is>
          <t>MOTALA</t>
        </is>
      </c>
      <c r="I227" t="n">
        <v>14.2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45575</v>
      </c>
      <c r="E228" s="1" t="n">
        <v>46225</v>
      </c>
      <c r="F228" t="inlineStr">
        <is>
          <t>ÖSTERGÖTLANDS LÄN</t>
        </is>
      </c>
      <c r="G228" t="inlineStr">
        <is>
          <t>MOTALA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44953</v>
      </c>
      <c r="E229" s="1" t="n">
        <v>46225</v>
      </c>
      <c r="F229" t="inlineStr">
        <is>
          <t>ÖSTERGÖTLANDS LÄN</t>
        </is>
      </c>
      <c r="G229" t="inlineStr">
        <is>
          <t>MOTALA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46225</v>
      </c>
      <c r="F230" t="inlineStr">
        <is>
          <t>ÖSTERGÖTLANDS LÄN</t>
        </is>
      </c>
      <c r="G230" t="inlineStr">
        <is>
          <t>MOTALA</t>
        </is>
      </c>
      <c r="H230" t="inlineStr">
        <is>
          <t>Sveaskog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46225</v>
      </c>
      <c r="F231" t="inlineStr">
        <is>
          <t>ÖSTERGÖTLANDS LÄN</t>
        </is>
      </c>
      <c r="G231" t="inlineStr">
        <is>
          <t>MOTALA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17741-2026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46225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54171-2025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46225</v>
      </c>
      <c r="F233" t="inlineStr">
        <is>
          <t>ÖSTERGÖTLANDS LÄN</t>
        </is>
      </c>
      <c r="G233" t="inlineStr">
        <is>
          <t>MOTALA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46225</v>
      </c>
      <c r="F234" t="inlineStr">
        <is>
          <t>ÖSTERGÖTLANDS LÄN</t>
        </is>
      </c>
      <c r="G234" t="inlineStr">
        <is>
          <t>MOTALA</t>
        </is>
      </c>
      <c r="I234" t="n">
        <v>8.4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71205-2021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44539</v>
      </c>
      <c r="E235" s="1" t="n">
        <v>46225</v>
      </c>
      <c r="F235" t="inlineStr">
        <is>
          <t>ÖSTERGÖTLANDS LÄN</t>
        </is>
      </c>
      <c r="G235" t="inlineStr">
        <is>
          <t>MOTALA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46132</v>
      </c>
      <c r="E236" s="1" t="n">
        <v>46225</v>
      </c>
      <c r="F236" t="inlineStr">
        <is>
          <t>ÖSTERGÖTLANDS LÄN</t>
        </is>
      </c>
      <c r="G236" t="inlineStr">
        <is>
          <t>MOTALA</t>
        </is>
      </c>
      <c r="H236" t="inlineStr">
        <is>
          <t>Sveaskog</t>
        </is>
      </c>
      <c r="I236" t="n">
        <v>11.6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46132</v>
      </c>
      <c r="E237" s="1" t="n">
        <v>46225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45202</v>
      </c>
      <c r="E238" s="1" t="n">
        <v>46225</v>
      </c>
      <c r="F238" t="inlineStr">
        <is>
          <t>ÖSTERGÖTLANDS LÄN</t>
        </is>
      </c>
      <c r="G238" t="inlineStr">
        <is>
          <t>MOTALA</t>
        </is>
      </c>
      <c r="I238" t="n">
        <v>17.6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45001</v>
      </c>
      <c r="E239" s="1" t="n">
        <v>46225</v>
      </c>
      <c r="F239" t="inlineStr">
        <is>
          <t>ÖSTERGÖTLANDS LÄN</t>
        </is>
      </c>
      <c r="G239" t="inlineStr">
        <is>
          <t>MOTALA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46225</v>
      </c>
      <c r="F240" t="inlineStr">
        <is>
          <t>ÖSTERGÖTLANDS LÄN</t>
        </is>
      </c>
      <c r="G240" t="inlineStr">
        <is>
          <t>MOTALA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52385-2025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45954</v>
      </c>
      <c r="E241" s="1" t="n">
        <v>46225</v>
      </c>
      <c r="F241" t="inlineStr">
        <is>
          <t>ÖSTERGÖTLANDS LÄN</t>
        </is>
      </c>
      <c r="G241" t="inlineStr">
        <is>
          <t>MOTALA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58385-2025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45985</v>
      </c>
      <c r="E242" s="1" t="n">
        <v>46225</v>
      </c>
      <c r="F242" t="inlineStr">
        <is>
          <t>ÖSTERGÖTLANDS LÄN</t>
        </is>
      </c>
      <c r="G242" t="inlineStr">
        <is>
          <t>MOTALA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45695</v>
      </c>
      <c r="E243" s="1" t="n">
        <v>46225</v>
      </c>
      <c r="F243" t="inlineStr">
        <is>
          <t>ÖSTERGÖTLANDS LÄN</t>
        </is>
      </c>
      <c r="G243" t="inlineStr">
        <is>
          <t>MOTALA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46225</v>
      </c>
      <c r="F244" t="inlineStr">
        <is>
          <t>ÖSTERGÖTLANDS LÄN</t>
        </is>
      </c>
      <c r="G244" t="inlineStr">
        <is>
          <t>MOTALA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60742-2025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45998</v>
      </c>
      <c r="E245" s="1" t="n">
        <v>46225</v>
      </c>
      <c r="F245" t="inlineStr">
        <is>
          <t>ÖSTERGÖTLANDS LÄN</t>
        </is>
      </c>
      <c r="G245" t="inlineStr">
        <is>
          <t>MOTALA</t>
        </is>
      </c>
      <c r="I245" t="n">
        <v>15.9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44931</v>
      </c>
      <c r="E246" s="1" t="n">
        <v>46225</v>
      </c>
      <c r="F246" t="inlineStr">
        <is>
          <t>ÖSTERGÖTLANDS LÄN</t>
        </is>
      </c>
      <c r="G246" t="inlineStr">
        <is>
          <t>MOTALA</t>
        </is>
      </c>
      <c r="H246" t="inlineStr">
        <is>
          <t>Övriga statliga verk och myndigheter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45440</v>
      </c>
      <c r="E247" s="1" t="n">
        <v>46225</v>
      </c>
      <c r="F247" t="inlineStr">
        <is>
          <t>ÖSTERGÖTLANDS LÄN</t>
        </is>
      </c>
      <c r="G247" t="inlineStr">
        <is>
          <t>MOTALA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46225</v>
      </c>
      <c r="F248" t="inlineStr">
        <is>
          <t>ÖSTERGÖTLANDS LÄN</t>
        </is>
      </c>
      <c r="G248" t="inlineStr">
        <is>
          <t>MOTALA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46225</v>
      </c>
      <c r="F249" t="inlineStr">
        <is>
          <t>ÖSTERGÖTLANDS LÄN</t>
        </is>
      </c>
      <c r="G249" t="inlineStr">
        <is>
          <t>MOTALA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7051-2024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45343</v>
      </c>
      <c r="E250" s="1" t="n">
        <v>46225</v>
      </c>
      <c r="F250" t="inlineStr">
        <is>
          <t>ÖSTERGÖTLANDS LÄN</t>
        </is>
      </c>
      <c r="G250" t="inlineStr">
        <is>
          <t>MOTALA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59570-2022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44907</v>
      </c>
      <c r="E251" s="1" t="n">
        <v>46225</v>
      </c>
      <c r="F251" t="inlineStr">
        <is>
          <t>ÖSTERGÖTLANDS LÄN</t>
        </is>
      </c>
      <c r="G251" t="inlineStr">
        <is>
          <t>MOTALA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20815-2026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46141</v>
      </c>
      <c r="E252" s="1" t="n">
        <v>46225</v>
      </c>
      <c r="F252" t="inlineStr">
        <is>
          <t>ÖSTERGÖTLANDS LÄN</t>
        </is>
      </c>
      <c r="G252" t="inlineStr">
        <is>
          <t>MOTALA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45229</v>
      </c>
      <c r="E253" s="1" t="n">
        <v>46225</v>
      </c>
      <c r="F253" t="inlineStr">
        <is>
          <t>ÖSTERGÖTLANDS LÄN</t>
        </is>
      </c>
      <c r="G253" t="inlineStr">
        <is>
          <t>MOTALA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47875-2021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44448</v>
      </c>
      <c r="E254" s="1" t="n">
        <v>46225</v>
      </c>
      <c r="F254" t="inlineStr">
        <is>
          <t>ÖSTERGÖTLANDS LÄN</t>
        </is>
      </c>
      <c r="G254" t="inlineStr">
        <is>
          <t>MOTALA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46225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46225</v>
      </c>
      <c r="F256" t="inlineStr">
        <is>
          <t>ÖSTERGÖTLANDS LÄN</t>
        </is>
      </c>
      <c r="G256" t="inlineStr">
        <is>
          <t>MOTALA</t>
        </is>
      </c>
      <c r="H256" t="inlineStr">
        <is>
          <t>Holmen skog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43695-2021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44433</v>
      </c>
      <c r="E257" s="1" t="n">
        <v>46225</v>
      </c>
      <c r="F257" t="inlineStr">
        <is>
          <t>ÖSTERGÖTLANDS LÄN</t>
        </is>
      </c>
      <c r="G257" t="inlineStr">
        <is>
          <t>MOTALA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46225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20.4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46225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60610-2022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44911</v>
      </c>
      <c r="E260" s="1" t="n">
        <v>46225</v>
      </c>
      <c r="F260" t="inlineStr">
        <is>
          <t>ÖSTERGÖTLANDS LÄN</t>
        </is>
      </c>
      <c r="G260" t="inlineStr">
        <is>
          <t>MOTALA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17543-2022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44679</v>
      </c>
      <c r="E261" s="1" t="n">
        <v>46225</v>
      </c>
      <c r="F261" t="inlineStr">
        <is>
          <t>ÖSTERGÖTLANDS LÄN</t>
        </is>
      </c>
      <c r="G261" t="inlineStr">
        <is>
          <t>MOTALA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46188</v>
      </c>
      <c r="E262" s="1" t="n">
        <v>46225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46188</v>
      </c>
      <c r="E263" s="1" t="n">
        <v>46225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46225</v>
      </c>
      <c r="F264" t="inlineStr">
        <is>
          <t>ÖSTERGÖTLANDS LÄN</t>
        </is>
      </c>
      <c r="G264" t="inlineStr">
        <is>
          <t>MOTALA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46190</v>
      </c>
      <c r="E265" s="1" t="n">
        <v>46225</v>
      </c>
      <c r="F265" t="inlineStr">
        <is>
          <t>ÖSTERGÖTLANDS LÄN</t>
        </is>
      </c>
      <c r="G265" t="inlineStr">
        <is>
          <t>MOTALA</t>
        </is>
      </c>
      <c r="I265" t="n">
        <v>10.8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45607</v>
      </c>
      <c r="E266" s="1" t="n">
        <v>46225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45180</v>
      </c>
      <c r="E267" s="1" t="n">
        <v>46225</v>
      </c>
      <c r="F267" t="inlineStr">
        <is>
          <t>ÖSTERGÖTLANDS LÄN</t>
        </is>
      </c>
      <c r="G267" t="inlineStr">
        <is>
          <t>MOTALA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46225</v>
      </c>
      <c r="F268" t="inlineStr">
        <is>
          <t>ÖSTERGÖTLANDS LÄN</t>
        </is>
      </c>
      <c r="G268" t="inlineStr">
        <is>
          <t>MOTALA</t>
        </is>
      </c>
      <c r="H268" t="inlineStr">
        <is>
          <t>Allmännings- och besparingsskogar</t>
        </is>
      </c>
      <c r="I268" t="n">
        <v>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46225</v>
      </c>
      <c r="F269" t="inlineStr">
        <is>
          <t>ÖSTERGÖTLANDS LÄN</t>
        </is>
      </c>
      <c r="G269" t="inlineStr">
        <is>
          <t>MOTALA</t>
        </is>
      </c>
      <c r="H269" t="inlineStr">
        <is>
          <t>Allmännings- och besparingsskogar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46191</v>
      </c>
      <c r="E270" s="1" t="n">
        <v>46225</v>
      </c>
      <c r="F270" t="inlineStr">
        <is>
          <t>ÖSTERGÖTLANDS LÄN</t>
        </is>
      </c>
      <c r="G270" t="inlineStr">
        <is>
          <t>MOTALA</t>
        </is>
      </c>
      <c r="H270" t="inlineStr">
        <is>
          <t>Holmen skog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44942</v>
      </c>
      <c r="E271" s="1" t="n">
        <v>46225</v>
      </c>
      <c r="F271" t="inlineStr">
        <is>
          <t>ÖSTERGÖTLANDS LÄN</t>
        </is>
      </c>
      <c r="G271" t="inlineStr">
        <is>
          <t>MOTALA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44952</v>
      </c>
      <c r="E272" s="1" t="n">
        <v>46225</v>
      </c>
      <c r="F272" t="inlineStr">
        <is>
          <t>ÖSTERGÖTLANDS LÄN</t>
        </is>
      </c>
      <c r="G272" t="inlineStr">
        <is>
          <t>MOTALA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45644</v>
      </c>
      <c r="E273" s="1" t="n">
        <v>46225</v>
      </c>
      <c r="F273" t="inlineStr">
        <is>
          <t>ÖSTERGÖTLANDS LÄN</t>
        </is>
      </c>
      <c r="G273" t="inlineStr">
        <is>
          <t>MOTALA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62556-2021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44503</v>
      </c>
      <c r="E274" s="1" t="n">
        <v>46225</v>
      </c>
      <c r="F274" t="inlineStr">
        <is>
          <t>ÖSTERGÖTLANDS LÄN</t>
        </is>
      </c>
      <c r="G274" t="inlineStr">
        <is>
          <t>MOTALA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53820-2024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45615</v>
      </c>
      <c r="E275" s="1" t="n">
        <v>46225</v>
      </c>
      <c r="F275" t="inlineStr">
        <is>
          <t>ÖSTERGÖTLANDS LÄN</t>
        </is>
      </c>
      <c r="G275" t="inlineStr">
        <is>
          <t>MOTALA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45812</v>
      </c>
      <c r="E276" s="1" t="n">
        <v>46225</v>
      </c>
      <c r="F276" t="inlineStr">
        <is>
          <t>ÖSTERGÖTLANDS LÄN</t>
        </is>
      </c>
      <c r="G276" t="inlineStr">
        <is>
          <t>MOTALA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12434-2023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44999</v>
      </c>
      <c r="E277" s="1" t="n">
        <v>46225</v>
      </c>
      <c r="F277" t="inlineStr">
        <is>
          <t>ÖSTERGÖTLANDS LÄN</t>
        </is>
      </c>
      <c r="G277" t="inlineStr">
        <is>
          <t>MOTALA</t>
        </is>
      </c>
      <c r="H277" t="inlineStr">
        <is>
          <t>Allmännings- och besparingsskogar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28700-2026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46198</v>
      </c>
      <c r="E278" s="1" t="n">
        <v>46225</v>
      </c>
      <c r="F278" t="inlineStr">
        <is>
          <t>ÖSTERGÖTLANDS LÄN</t>
        </is>
      </c>
      <c r="G278" t="inlineStr">
        <is>
          <t>MOTALA</t>
        </is>
      </c>
      <c r="H278" t="inlineStr">
        <is>
          <t>Allmännings- och besparingsskogar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46225</v>
      </c>
      <c r="F279" t="inlineStr">
        <is>
          <t>ÖSTERGÖTLANDS LÄN</t>
        </is>
      </c>
      <c r="G279" t="inlineStr">
        <is>
          <t>MOTALA</t>
        </is>
      </c>
      <c r="H279" t="inlineStr">
        <is>
          <t>Allmännings- och besparingsskogar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46225</v>
      </c>
      <c r="F280" t="inlineStr">
        <is>
          <t>ÖSTERGÖTLANDS LÄN</t>
        </is>
      </c>
      <c r="G280" t="inlineStr">
        <is>
          <t>MOTALA</t>
        </is>
      </c>
      <c r="H280" t="inlineStr">
        <is>
          <t>Allmännings- och besparingsskogar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40518-2022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44819</v>
      </c>
      <c r="E281" s="1" t="n">
        <v>46225</v>
      </c>
      <c r="F281" t="inlineStr">
        <is>
          <t>ÖSTERGÖTLANDS LÄN</t>
        </is>
      </c>
      <c r="G281" t="inlineStr">
        <is>
          <t>MOTALA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53438-2024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46225</v>
      </c>
      <c r="F282" t="inlineStr">
        <is>
          <t>ÖSTERGÖTLANDS LÄN</t>
        </is>
      </c>
      <c r="G282" t="inlineStr">
        <is>
          <t>MOTALA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28699-2026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46198</v>
      </c>
      <c r="E283" s="1" t="n">
        <v>46225</v>
      </c>
      <c r="F283" t="inlineStr">
        <is>
          <t>ÖSTERGÖTLANDS LÄN</t>
        </is>
      </c>
      <c r="G283" t="inlineStr">
        <is>
          <t>MOTALA</t>
        </is>
      </c>
      <c r="H283" t="inlineStr">
        <is>
          <t>Allmännings- och besparingsskogar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22921-2026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46160</v>
      </c>
      <c r="E284" s="1" t="n">
        <v>46225</v>
      </c>
      <c r="F284" t="inlineStr">
        <is>
          <t>ÖSTERGÖTLANDS LÄN</t>
        </is>
      </c>
      <c r="G284" t="inlineStr">
        <is>
          <t>MOTALA</t>
        </is>
      </c>
      <c r="H284" t="inlineStr">
        <is>
          <t>Sveaskog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46225</v>
      </c>
      <c r="F285" t="inlineStr">
        <is>
          <t>ÖSTERGÖTLANDS LÄN</t>
        </is>
      </c>
      <c r="G285" t="inlineStr">
        <is>
          <t>MOTALA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29028-2026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46199</v>
      </c>
      <c r="E286" s="1" t="n">
        <v>46225</v>
      </c>
      <c r="F286" t="inlineStr">
        <is>
          <t>ÖSTERGÖTLANDS LÄN</t>
        </is>
      </c>
      <c r="G286" t="inlineStr">
        <is>
          <t>MOTALA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22795-2026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46158</v>
      </c>
      <c r="E287" s="1" t="n">
        <v>46225</v>
      </c>
      <c r="F287" t="inlineStr">
        <is>
          <t>ÖSTERGÖTLANDS LÄN</t>
        </is>
      </c>
      <c r="G287" t="inlineStr">
        <is>
          <t>MOTALA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46225</v>
      </c>
      <c r="F288" t="inlineStr">
        <is>
          <t>ÖSTERGÖTLANDS LÄN</t>
        </is>
      </c>
      <c r="G288" t="inlineStr">
        <is>
          <t>MOTALA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32470-2022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44782</v>
      </c>
      <c r="E289" s="1" t="n">
        <v>46225</v>
      </c>
      <c r="F289" t="inlineStr">
        <is>
          <t>ÖSTERGÖTLANDS LÄN</t>
        </is>
      </c>
      <c r="G289" t="inlineStr">
        <is>
          <t>MOTALA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29525-2024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45484</v>
      </c>
      <c r="E290" s="1" t="n">
        <v>46225</v>
      </c>
      <c r="F290" t="inlineStr">
        <is>
          <t>ÖSTERGÖTLANDS LÄN</t>
        </is>
      </c>
      <c r="G290" t="inlineStr">
        <is>
          <t>MOTALA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29128-2026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46225</v>
      </c>
      <c r="F291" t="inlineStr">
        <is>
          <t>ÖSTERGÖTLANDS LÄN</t>
        </is>
      </c>
      <c r="G291" t="inlineStr">
        <is>
          <t>MOTALA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22940-2026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46160</v>
      </c>
      <c r="E292" s="1" t="n">
        <v>46225</v>
      </c>
      <c r="F292" t="inlineStr">
        <is>
          <t>ÖSTERGÖTLANDS LÄN</t>
        </is>
      </c>
      <c r="G292" t="inlineStr">
        <is>
          <t>MOTALA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46160</v>
      </c>
      <c r="E293" s="1" t="n">
        <v>46225</v>
      </c>
      <c r="F293" t="inlineStr">
        <is>
          <t>ÖSTERGÖTLANDS LÄN</t>
        </is>
      </c>
      <c r="G293" t="inlineStr">
        <is>
          <t>MOTALA</t>
        </is>
      </c>
      <c r="H293" t="inlineStr">
        <is>
          <t>Holmen skog AB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46160</v>
      </c>
      <c r="E294" s="1" t="n">
        <v>46225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17.1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45114</v>
      </c>
      <c r="E295" s="1" t="n">
        <v>46225</v>
      </c>
      <c r="F295" t="inlineStr">
        <is>
          <t>ÖSTERGÖTLANDS LÄN</t>
        </is>
      </c>
      <c r="G295" t="inlineStr">
        <is>
          <t>MOTALA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29736-2026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46204</v>
      </c>
      <c r="E296" s="1" t="n">
        <v>46225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40528-2022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44819</v>
      </c>
      <c r="E297" s="1" t="n">
        <v>46225</v>
      </c>
      <c r="F297" t="inlineStr">
        <is>
          <t>ÖSTERGÖTLANDS LÄN</t>
        </is>
      </c>
      <c r="G297" t="inlineStr">
        <is>
          <t>MOTALA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44935</v>
      </c>
      <c r="E298" s="1" t="n">
        <v>46225</v>
      </c>
      <c r="F298" t="inlineStr">
        <is>
          <t>ÖSTERGÖTLANDS LÄN</t>
        </is>
      </c>
      <c r="G298" t="inlineStr">
        <is>
          <t>MOTALA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30115-2026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46206</v>
      </c>
      <c r="E299" s="1" t="n">
        <v>46225</v>
      </c>
      <c r="F299" t="inlineStr">
        <is>
          <t>ÖSTERGÖTLANDS LÄN</t>
        </is>
      </c>
      <c r="G299" t="inlineStr">
        <is>
          <t>MOTALA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23430-2026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46225</v>
      </c>
      <c r="F300" t="inlineStr">
        <is>
          <t>ÖSTERGÖTLANDS LÄN</t>
        </is>
      </c>
      <c r="G300" t="inlineStr">
        <is>
          <t>MOTALA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45215</v>
      </c>
      <c r="E301" s="1" t="n">
        <v>46225</v>
      </c>
      <c r="F301" t="inlineStr">
        <is>
          <t>ÖSTERGÖTLANDS LÄN</t>
        </is>
      </c>
      <c r="G301" t="inlineStr">
        <is>
          <t>MOTALA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9081-2022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46225</v>
      </c>
      <c r="F302" t="inlineStr">
        <is>
          <t>ÖSTERGÖTLANDS LÄN</t>
        </is>
      </c>
      <c r="G302" t="inlineStr">
        <is>
          <t>MOTALA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18915-2023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45043</v>
      </c>
      <c r="E303" s="1" t="n">
        <v>46225</v>
      </c>
      <c r="F303" t="inlineStr">
        <is>
          <t>ÖSTERGÖTLANDS LÄN</t>
        </is>
      </c>
      <c r="G303" t="inlineStr">
        <is>
          <t>MOTALA</t>
        </is>
      </c>
      <c r="H303" t="inlineStr">
        <is>
          <t>Övriga statliga verk och myndigheter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46225</v>
      </c>
      <c r="F304" t="inlineStr">
        <is>
          <t>ÖSTERGÖTLANDS LÄN</t>
        </is>
      </c>
      <c r="G304" t="inlineStr">
        <is>
          <t>MOTALA</t>
        </is>
      </c>
      <c r="H304" t="inlineStr">
        <is>
          <t>Övriga statliga verk och myndigheter</t>
        </is>
      </c>
      <c r="I304" t="n">
        <v>24.8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57710-2023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45243</v>
      </c>
      <c r="E305" s="1" t="n">
        <v>46225</v>
      </c>
      <c r="F305" t="inlineStr">
        <is>
          <t>ÖSTERGÖTLANDS LÄN</t>
        </is>
      </c>
      <c r="G305" t="inlineStr">
        <is>
          <t>MOTALA</t>
        </is>
      </c>
      <c r="H305" t="inlineStr">
        <is>
          <t>Övriga statliga verk och myndigheter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46225</v>
      </c>
      <c r="F306" t="inlineStr">
        <is>
          <t>ÖSTERGÖTLANDS LÄN</t>
        </is>
      </c>
      <c r="G306" t="inlineStr">
        <is>
          <t>MOTALA</t>
        </is>
      </c>
      <c r="H306" t="inlineStr">
        <is>
          <t>Holmen skog AB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40191-2021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44418</v>
      </c>
      <c r="E307" s="1" t="n">
        <v>46225</v>
      </c>
      <c r="F307" t="inlineStr">
        <is>
          <t>ÖSTERGÖTLANDS LÄN</t>
        </is>
      </c>
      <c r="G307" t="inlineStr">
        <is>
          <t>MOTALA</t>
        </is>
      </c>
      <c r="I307" t="n">
        <v>11.2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42311-2021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44427</v>
      </c>
      <c r="E308" s="1" t="n">
        <v>46225</v>
      </c>
      <c r="F308" t="inlineStr">
        <is>
          <t>ÖSTERGÖTLANDS LÄN</t>
        </is>
      </c>
      <c r="G308" t="inlineStr">
        <is>
          <t>MOTALA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44881</v>
      </c>
      <c r="E309" s="1" t="n">
        <v>46225</v>
      </c>
      <c r="F309" t="inlineStr">
        <is>
          <t>ÖSTERGÖTLANDS LÄN</t>
        </is>
      </c>
      <c r="G309" t="inlineStr">
        <is>
          <t>MOTALA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56275-2022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44890</v>
      </c>
      <c r="E310" s="1" t="n">
        <v>46225</v>
      </c>
      <c r="F310" t="inlineStr">
        <is>
          <t>ÖSTERGÖTLANDS LÄN</t>
        </is>
      </c>
      <c r="G310" t="inlineStr">
        <is>
          <t>MOTALA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29077-2022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44750</v>
      </c>
      <c r="E311" s="1" t="n">
        <v>46225</v>
      </c>
      <c r="F311" t="inlineStr">
        <is>
          <t>ÖSTERGÖTLANDS LÄN</t>
        </is>
      </c>
      <c r="G311" t="inlineStr">
        <is>
          <t>MOTALA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46218</v>
      </c>
      <c r="E312" s="1" t="n">
        <v>46225</v>
      </c>
      <c r="F312" t="inlineStr">
        <is>
          <t>ÖSTERGÖTLANDS LÄN</t>
        </is>
      </c>
      <c r="G312" t="inlineStr">
        <is>
          <t>MOTALA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46225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53491-2022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44879</v>
      </c>
      <c r="E314" s="1" t="n">
        <v>46225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46225</v>
      </c>
      <c r="F315" t="inlineStr">
        <is>
          <t>ÖSTERGÖTLANDS LÄN</t>
        </is>
      </c>
      <c r="G315" t="inlineStr">
        <is>
          <t>MOTALA</t>
        </is>
      </c>
      <c r="H315" t="inlineStr">
        <is>
          <t>Sveaskog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42130-2024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46225</v>
      </c>
      <c r="F316" t="inlineStr">
        <is>
          <t>ÖSTERGÖTLANDS LÄN</t>
        </is>
      </c>
      <c r="G316" t="inlineStr">
        <is>
          <t>MOTALA</t>
        </is>
      </c>
      <c r="I316" t="n">
        <v>8.1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64184-2023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45279</v>
      </c>
      <c r="E317" s="1" t="n">
        <v>46225</v>
      </c>
      <c r="F317" t="inlineStr">
        <is>
          <t>ÖSTERGÖTLANDS LÄN</t>
        </is>
      </c>
      <c r="G317" t="inlineStr">
        <is>
          <t>MOTALA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46218</v>
      </c>
      <c r="E318" s="1" t="n">
        <v>46225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31296-2026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46218</v>
      </c>
      <c r="E319" s="1" t="n">
        <v>46225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46225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43369-2023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45183</v>
      </c>
      <c r="E321" s="1" t="n">
        <v>46225</v>
      </c>
      <c r="F321" t="inlineStr">
        <is>
          <t>ÖSTERGÖTLANDS LÄN</t>
        </is>
      </c>
      <c r="G321" t="inlineStr">
        <is>
          <t>MOTALA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24831-2026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46225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12091-2023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44998</v>
      </c>
      <c r="E323" s="1" t="n">
        <v>46225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58344-2022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44893</v>
      </c>
      <c r="E324" s="1" t="n">
        <v>46225</v>
      </c>
      <c r="F324" t="inlineStr">
        <is>
          <t>ÖSTERGÖTLANDS LÄN</t>
        </is>
      </c>
      <c r="G324" t="inlineStr">
        <is>
          <t>MOTALA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55295-2023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45237</v>
      </c>
      <c r="E325" s="1" t="n">
        <v>46225</v>
      </c>
      <c r="F325" t="inlineStr">
        <is>
          <t>ÖSTERGÖTLANDS LÄN</t>
        </is>
      </c>
      <c r="G325" t="inlineStr">
        <is>
          <t>MOTALA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45329</v>
      </c>
      <c r="E326" s="1" t="n">
        <v>46225</v>
      </c>
      <c r="F326" t="inlineStr">
        <is>
          <t>ÖSTERGÖTLANDS LÄN</t>
        </is>
      </c>
      <c r="G326" t="inlineStr">
        <is>
          <t>MOTALA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17008-2022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44676</v>
      </c>
      <c r="E327" s="1" t="n">
        <v>46225</v>
      </c>
      <c r="F327" t="inlineStr">
        <is>
          <t>ÖSTERGÖTLANDS LÄN</t>
        </is>
      </c>
      <c r="G327" t="inlineStr">
        <is>
          <t>MOTALA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48684-2024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45593</v>
      </c>
      <c r="E328" s="1" t="n">
        <v>46225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11061-2022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44628</v>
      </c>
      <c r="E329" s="1" t="n">
        <v>46225</v>
      </c>
      <c r="F329" t="inlineStr">
        <is>
          <t>ÖSTERGÖTLANDS LÄN</t>
        </is>
      </c>
      <c r="G329" t="inlineStr">
        <is>
          <t>MOTALA</t>
        </is>
      </c>
      <c r="H329" t="inlineStr">
        <is>
          <t>Allmännings- och besparingsskogar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46225</v>
      </c>
      <c r="F330" t="inlineStr">
        <is>
          <t>ÖSTERGÖTLANDS LÄN</t>
        </is>
      </c>
      <c r="G330" t="inlineStr">
        <is>
          <t>MOTALA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50248-2022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44865</v>
      </c>
      <c r="E331" s="1" t="n">
        <v>46225</v>
      </c>
      <c r="F331" t="inlineStr">
        <is>
          <t>ÖSTERGÖTLANDS LÄN</t>
        </is>
      </c>
      <c r="G331" t="inlineStr">
        <is>
          <t>MOTALA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45069</v>
      </c>
      <c r="E332" s="1" t="n">
        <v>46225</v>
      </c>
      <c r="F332" t="inlineStr">
        <is>
          <t>ÖSTERGÖTLANDS LÄN</t>
        </is>
      </c>
      <c r="G332" t="inlineStr">
        <is>
          <t>MOTALA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45029</v>
      </c>
      <c r="E333" s="1" t="n">
        <v>46225</v>
      </c>
      <c r="F333" t="inlineStr">
        <is>
          <t>ÖSTERGÖTLANDS LÄN</t>
        </is>
      </c>
      <c r="G333" t="inlineStr">
        <is>
          <t>MOTALA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19234-2024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46225</v>
      </c>
      <c r="F334" t="inlineStr">
        <is>
          <t>ÖSTERGÖTLANDS LÄN</t>
        </is>
      </c>
      <c r="G334" t="inlineStr">
        <is>
          <t>MOTALA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65561-2021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44516</v>
      </c>
      <c r="E335" s="1" t="n">
        <v>46225</v>
      </c>
      <c r="F335" t="inlineStr">
        <is>
          <t>ÖSTERGÖTLANDS LÄN</t>
        </is>
      </c>
      <c r="G335" t="inlineStr">
        <is>
          <t>MOTALA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44984</v>
      </c>
      <c r="E336" s="1" t="n">
        <v>46225</v>
      </c>
      <c r="F336" t="inlineStr">
        <is>
          <t>ÖSTERGÖTLANDS LÄN</t>
        </is>
      </c>
      <c r="G336" t="inlineStr">
        <is>
          <t>MOTALA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10324-2023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44987</v>
      </c>
      <c r="E337" s="1" t="n">
        <v>46225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45173</v>
      </c>
      <c r="E338" s="1" t="n">
        <v>46225</v>
      </c>
      <c r="F338" t="inlineStr">
        <is>
          <t>ÖSTERGÖTLANDS LÄN</t>
        </is>
      </c>
      <c r="G338" t="inlineStr">
        <is>
          <t>MOTALA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50733-2024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45602</v>
      </c>
      <c r="E339" s="1" t="n">
        <v>46225</v>
      </c>
      <c r="F339" t="inlineStr">
        <is>
          <t>ÖSTERGÖTLANDS LÄN</t>
        </is>
      </c>
      <c r="G339" t="inlineStr">
        <is>
          <t>MOTALA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7034-2024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45343</v>
      </c>
      <c r="E340" s="1" t="n">
        <v>46225</v>
      </c>
      <c r="F340" t="inlineStr">
        <is>
          <t>ÖSTERGÖTLANDS LÄN</t>
        </is>
      </c>
      <c r="G340" t="inlineStr">
        <is>
          <t>MOTALA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45484</v>
      </c>
      <c r="E341" s="1" t="n">
        <v>46225</v>
      </c>
      <c r="F341" t="inlineStr">
        <is>
          <t>ÖSTERGÖTLANDS LÄN</t>
        </is>
      </c>
      <c r="G341" t="inlineStr">
        <is>
          <t>MOTALA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7295-2022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44606</v>
      </c>
      <c r="E342" s="1" t="n">
        <v>46225</v>
      </c>
      <c r="F342" t="inlineStr">
        <is>
          <t>ÖSTERGÖTLANDS LÄN</t>
        </is>
      </c>
      <c r="G342" t="inlineStr">
        <is>
          <t>MOTALA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45187</v>
      </c>
      <c r="E343" s="1" t="n">
        <v>46225</v>
      </c>
      <c r="F343" t="inlineStr">
        <is>
          <t>ÖSTERGÖTLANDS LÄN</t>
        </is>
      </c>
      <c r="G343" t="inlineStr">
        <is>
          <t>MOTALA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12156-2024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45377</v>
      </c>
      <c r="E344" s="1" t="n">
        <v>46225</v>
      </c>
      <c r="F344" t="inlineStr">
        <is>
          <t>ÖSTERGÖTLANDS LÄN</t>
        </is>
      </c>
      <c r="G344" t="inlineStr">
        <is>
          <t>MOTALA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45439</v>
      </c>
      <c r="E345" s="1" t="n">
        <v>46225</v>
      </c>
      <c r="F345" t="inlineStr">
        <is>
          <t>ÖSTERGÖTLANDS LÄN</t>
        </is>
      </c>
      <c r="G345" t="inlineStr">
        <is>
          <t>MOTALA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45473</v>
      </c>
      <c r="E346" s="1" t="n">
        <v>46225</v>
      </c>
      <c r="F346" t="inlineStr">
        <is>
          <t>ÖSTERGÖTLANDS LÄN</t>
        </is>
      </c>
      <c r="G346" t="inlineStr">
        <is>
          <t>MOTALA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45099-2023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45187</v>
      </c>
      <c r="E347" s="1" t="n">
        <v>46225</v>
      </c>
      <c r="F347" t="inlineStr">
        <is>
          <t>ÖSTERGÖTLANDS LÄN</t>
        </is>
      </c>
      <c r="G347" t="inlineStr">
        <is>
          <t>MOTALA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13422-2022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44645</v>
      </c>
      <c r="E348" s="1" t="n">
        <v>46225</v>
      </c>
      <c r="F348" t="inlineStr">
        <is>
          <t>ÖSTERGÖTLANDS LÄN</t>
        </is>
      </c>
      <c r="G348" t="inlineStr">
        <is>
          <t>MOTALA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45427</v>
      </c>
      <c r="E349" s="1" t="n">
        <v>46225</v>
      </c>
      <c r="F349" t="inlineStr">
        <is>
          <t>ÖSTERGÖTLANDS LÄN</t>
        </is>
      </c>
      <c r="G349" t="inlineStr">
        <is>
          <t>MOTALA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45351</v>
      </c>
      <c r="E350" s="1" t="n">
        <v>46225</v>
      </c>
      <c r="F350" t="inlineStr">
        <is>
          <t>ÖSTERGÖTLANDS LÄN</t>
        </is>
      </c>
      <c r="G350" t="inlineStr">
        <is>
          <t>MOTALA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49867-2024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45597</v>
      </c>
      <c r="E351" s="1" t="n">
        <v>46225</v>
      </c>
      <c r="F351" t="inlineStr">
        <is>
          <t>ÖSTERGÖTLANDS LÄN</t>
        </is>
      </c>
      <c r="G351" t="inlineStr">
        <is>
          <t>MOTALA</t>
        </is>
      </c>
      <c r="H351" t="inlineStr">
        <is>
          <t>Sveaskog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56325-2024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45624</v>
      </c>
      <c r="E352" s="1" t="n">
        <v>46225</v>
      </c>
      <c r="F352" t="inlineStr">
        <is>
          <t>ÖSTERGÖTLANDS LÄN</t>
        </is>
      </c>
      <c r="G352" t="inlineStr">
        <is>
          <t>MOTALA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43368-2023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46225</v>
      </c>
      <c r="F353" t="inlineStr">
        <is>
          <t>ÖSTERGÖTLANDS LÄN</t>
        </is>
      </c>
      <c r="G353" t="inlineStr">
        <is>
          <t>MOTALA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55025-2024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45621</v>
      </c>
      <c r="E354" s="1" t="n">
        <v>46225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7.3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52302-2023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45224</v>
      </c>
      <c r="E355" s="1" t="n">
        <v>46225</v>
      </c>
      <c r="F355" t="inlineStr">
        <is>
          <t>ÖSTERGÖTLANDS LÄN</t>
        </is>
      </c>
      <c r="G355" t="inlineStr">
        <is>
          <t>MOTALA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7925-2022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44608</v>
      </c>
      <c r="E356" s="1" t="n">
        <v>46225</v>
      </c>
      <c r="F356" t="inlineStr">
        <is>
          <t>ÖSTERGÖTLANDS LÄN</t>
        </is>
      </c>
      <c r="G356" t="inlineStr">
        <is>
          <t>MOTALA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44608</v>
      </c>
      <c r="E357" s="1" t="n">
        <v>46225</v>
      </c>
      <c r="F357" t="inlineStr">
        <is>
          <t>ÖSTERGÖTLANDS LÄN</t>
        </is>
      </c>
      <c r="G357" t="inlineStr">
        <is>
          <t>MOTALA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45685</v>
      </c>
      <c r="E358" s="1" t="n">
        <v>46225</v>
      </c>
      <c r="F358" t="inlineStr">
        <is>
          <t>ÖSTERGÖTLANDS LÄN</t>
        </is>
      </c>
      <c r="G358" t="inlineStr">
        <is>
          <t>MOTALA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8111-2024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45351</v>
      </c>
      <c r="E359" s="1" t="n">
        <v>46225</v>
      </c>
      <c r="F359" t="inlineStr">
        <is>
          <t>ÖSTERGÖTLANDS LÄN</t>
        </is>
      </c>
      <c r="G359" t="inlineStr">
        <is>
          <t>MOTALA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28194-2023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46225</v>
      </c>
      <c r="F360" t="inlineStr">
        <is>
          <t>ÖSTERGÖTLANDS LÄN</t>
        </is>
      </c>
      <c r="G360" t="inlineStr">
        <is>
          <t>MOTALA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53454-2024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45614</v>
      </c>
      <c r="E361" s="1" t="n">
        <v>46225</v>
      </c>
      <c r="F361" t="inlineStr">
        <is>
          <t>ÖSTERGÖTLANDS LÄN</t>
        </is>
      </c>
      <c r="G361" t="inlineStr">
        <is>
          <t>MOTALA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28681-2022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44748</v>
      </c>
      <c r="E362" s="1" t="n">
        <v>46225</v>
      </c>
      <c r="F362" t="inlineStr">
        <is>
          <t>ÖSTERGÖTLANDS LÄN</t>
        </is>
      </c>
      <c r="G362" t="inlineStr">
        <is>
          <t>MOTALA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28686-2022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44748</v>
      </c>
      <c r="E363" s="1" t="n">
        <v>46225</v>
      </c>
      <c r="F363" t="inlineStr">
        <is>
          <t>ÖSTERGÖTLANDS LÄN</t>
        </is>
      </c>
      <c r="G363" t="inlineStr">
        <is>
          <t>MOTALA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44725</v>
      </c>
      <c r="E364" s="1" t="n">
        <v>46225</v>
      </c>
      <c r="F364" t="inlineStr">
        <is>
          <t>ÖSTERGÖTLANDS LÄN</t>
        </is>
      </c>
      <c r="G364" t="inlineStr">
        <is>
          <t>MOTALA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45237</v>
      </c>
      <c r="E365" s="1" t="n">
        <v>46225</v>
      </c>
      <c r="F365" t="inlineStr">
        <is>
          <t>ÖSTERGÖTLANDS LÄN</t>
        </is>
      </c>
      <c r="G365" t="inlineStr">
        <is>
          <t>MOTALA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31753-2022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44776</v>
      </c>
      <c r="E366" s="1" t="n">
        <v>46225</v>
      </c>
      <c r="F366" t="inlineStr">
        <is>
          <t>ÖSTERGÖTLANDS LÄN</t>
        </is>
      </c>
      <c r="G366" t="inlineStr">
        <is>
          <t>MOTALA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44298-2023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45187</v>
      </c>
      <c r="E367" s="1" t="n">
        <v>46225</v>
      </c>
      <c r="F367" t="inlineStr">
        <is>
          <t>ÖSTERGÖTLANDS LÄN</t>
        </is>
      </c>
      <c r="G367" t="inlineStr">
        <is>
          <t>MOTALA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45302</v>
      </c>
      <c r="E368" s="1" t="n">
        <v>46225</v>
      </c>
      <c r="F368" t="inlineStr">
        <is>
          <t>ÖSTERGÖTLANDS LÄN</t>
        </is>
      </c>
      <c r="G368" t="inlineStr">
        <is>
          <t>MOTALA</t>
        </is>
      </c>
      <c r="H368" t="inlineStr">
        <is>
          <t>Övriga statliga verk och myndigheter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44734</v>
      </c>
      <c r="E369" s="1" t="n">
        <v>46225</v>
      </c>
      <c r="F369" t="inlineStr">
        <is>
          <t>ÖSTERGÖTLANDS LÄN</t>
        </is>
      </c>
      <c r="G369" t="inlineStr">
        <is>
          <t>MOTALA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62065-2023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45266</v>
      </c>
      <c r="E370" s="1" t="n">
        <v>46225</v>
      </c>
      <c r="F370" t="inlineStr">
        <is>
          <t>ÖSTERGÖTLANDS LÄN</t>
        </is>
      </c>
      <c r="G370" t="inlineStr">
        <is>
          <t>MOTALA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36725-2022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44804</v>
      </c>
      <c r="E371" s="1" t="n">
        <v>46225</v>
      </c>
      <c r="F371" t="inlineStr">
        <is>
          <t>ÖSTERGÖTLANDS LÄN</t>
        </is>
      </c>
      <c r="G371" t="inlineStr">
        <is>
          <t>MOTALA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24254-2022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44725</v>
      </c>
      <c r="E372" s="1" t="n">
        <v>46225</v>
      </c>
      <c r="F372" t="inlineStr">
        <is>
          <t>ÖSTERGÖTLANDS LÄN</t>
        </is>
      </c>
      <c r="G372" t="inlineStr">
        <is>
          <t>MOTALA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46225</v>
      </c>
      <c r="F373" t="inlineStr">
        <is>
          <t>ÖSTERGÖTLANDS LÄN</t>
        </is>
      </c>
      <c r="G373" t="inlineStr">
        <is>
          <t>MOTALA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63150-2023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45273</v>
      </c>
      <c r="E374" s="1" t="n">
        <v>46225</v>
      </c>
      <c r="F374" t="inlineStr">
        <is>
          <t>ÖSTERGÖTLANDS LÄN</t>
        </is>
      </c>
      <c r="G374" t="inlineStr">
        <is>
          <t>MOTALA</t>
        </is>
      </c>
      <c r="H374" t="inlineStr">
        <is>
          <t>Kyrkan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38660-2024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45546</v>
      </c>
      <c r="E375" s="1" t="n">
        <v>46225</v>
      </c>
      <c r="F375" t="inlineStr">
        <is>
          <t>ÖSTERGÖTLANDS LÄN</t>
        </is>
      </c>
      <c r="G375" t="inlineStr">
        <is>
          <t>MOTALA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44830</v>
      </c>
      <c r="E376" s="1" t="n">
        <v>46225</v>
      </c>
      <c r="F376" t="inlineStr">
        <is>
          <t>ÖSTERGÖTLANDS LÄN</t>
        </is>
      </c>
      <c r="G376" t="inlineStr">
        <is>
          <t>MOTALA</t>
        </is>
      </c>
      <c r="H376" t="inlineStr">
        <is>
          <t>Sveaskog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44830</v>
      </c>
      <c r="E377" s="1" t="n">
        <v>46225</v>
      </c>
      <c r="F377" t="inlineStr">
        <is>
          <t>ÖSTERGÖTLANDS LÄN</t>
        </is>
      </c>
      <c r="G377" t="inlineStr">
        <is>
          <t>MOTALA</t>
        </is>
      </c>
      <c r="H377" t="inlineStr">
        <is>
          <t>Sveaskog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41924-2022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44830</v>
      </c>
      <c r="E378" s="1" t="n">
        <v>46225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41925-2022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44830</v>
      </c>
      <c r="E379" s="1" t="n">
        <v>46225</v>
      </c>
      <c r="F379" t="inlineStr">
        <is>
          <t>ÖSTERGÖTLANDS LÄN</t>
        </is>
      </c>
      <c r="G379" t="inlineStr">
        <is>
          <t>MOTALA</t>
        </is>
      </c>
      <c r="H379" t="inlineStr">
        <is>
          <t>Sveaskog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41929-2022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44830</v>
      </c>
      <c r="E380" s="1" t="n">
        <v>46225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45343</v>
      </c>
      <c r="E381" s="1" t="n">
        <v>46225</v>
      </c>
      <c r="F381" t="inlineStr">
        <is>
          <t>ÖSTERGÖTLANDS LÄN</t>
        </is>
      </c>
      <c r="G381" t="inlineStr">
        <is>
          <t>MOTALA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31683-2022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44776</v>
      </c>
      <c r="E382" s="1" t="n">
        <v>46225</v>
      </c>
      <c r="F382" t="inlineStr">
        <is>
          <t>ÖSTERGÖTLANDS LÄN</t>
        </is>
      </c>
      <c r="G382" t="inlineStr">
        <is>
          <t>MOTALA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6990-2023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44967</v>
      </c>
      <c r="E383" s="1" t="n">
        <v>46225</v>
      </c>
      <c r="F383" t="inlineStr">
        <is>
          <t>ÖSTERGÖTLANDS LÄN</t>
        </is>
      </c>
      <c r="G383" t="inlineStr">
        <is>
          <t>MOTALA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6992-2023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44967</v>
      </c>
      <c r="E384" s="1" t="n">
        <v>46225</v>
      </c>
      <c r="F384" t="inlineStr">
        <is>
          <t>ÖSTERGÖTLANDS LÄN</t>
        </is>
      </c>
      <c r="G384" t="inlineStr">
        <is>
          <t>MOTALA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45205</v>
      </c>
      <c r="E385" s="1" t="n">
        <v>46225</v>
      </c>
      <c r="F385" t="inlineStr">
        <is>
          <t>ÖSTERGÖTLANDS LÄN</t>
        </is>
      </c>
      <c r="G385" t="inlineStr">
        <is>
          <t>MOTALA</t>
        </is>
      </c>
      <c r="H385" t="inlineStr">
        <is>
          <t>Övriga statliga verk och myndigheter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57705-2023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46225</v>
      </c>
      <c r="F386" t="inlineStr">
        <is>
          <t>ÖSTERGÖTLANDS LÄN</t>
        </is>
      </c>
      <c r="G386" t="inlineStr">
        <is>
          <t>MOTALA</t>
        </is>
      </c>
      <c r="H386" t="inlineStr">
        <is>
          <t>Övriga statliga verk och myndigheter</t>
        </is>
      </c>
      <c r="I386" t="n">
        <v>25.1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60029-2021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44494</v>
      </c>
      <c r="E387" s="1" t="n">
        <v>46225</v>
      </c>
      <c r="F387" t="inlineStr">
        <is>
          <t>ÖSTERGÖTLANDS LÄN</t>
        </is>
      </c>
      <c r="G387" t="inlineStr">
        <is>
          <t>MOTALA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61002-2022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44914</v>
      </c>
      <c r="E388" s="1" t="n">
        <v>46225</v>
      </c>
      <c r="F388" t="inlineStr">
        <is>
          <t>ÖSTERGÖTLANDS LÄN</t>
        </is>
      </c>
      <c r="G388" t="inlineStr">
        <is>
          <t>MOTALA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43905-2021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44434</v>
      </c>
      <c r="E389" s="1" t="n">
        <v>46225</v>
      </c>
      <c r="F389" t="inlineStr">
        <is>
          <t>ÖSTERGÖTLANDS LÄN</t>
        </is>
      </c>
      <c r="G389" t="inlineStr">
        <is>
          <t>MOTALA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44935</v>
      </c>
      <c r="E390" s="1" t="n">
        <v>46225</v>
      </c>
      <c r="F390" t="inlineStr">
        <is>
          <t>ÖSTERGÖTLANDS LÄN</t>
        </is>
      </c>
      <c r="G390" t="inlineStr">
        <is>
          <t>MOTALA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37279-2024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45540</v>
      </c>
      <c r="E391" s="1" t="n">
        <v>46225</v>
      </c>
      <c r="F391" t="inlineStr">
        <is>
          <t>ÖSTERGÖTLANDS LÄN</t>
        </is>
      </c>
      <c r="G391" t="inlineStr">
        <is>
          <t>MOTALA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42137-2024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45562</v>
      </c>
      <c r="E392" s="1" t="n">
        <v>46225</v>
      </c>
      <c r="F392" t="inlineStr">
        <is>
          <t>ÖSTERGÖTLANDS LÄN</t>
        </is>
      </c>
      <c r="G392" t="inlineStr">
        <is>
          <t>MOTALA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44992</v>
      </c>
      <c r="E393" s="1" t="n">
        <v>46225</v>
      </c>
      <c r="F393" t="inlineStr">
        <is>
          <t>ÖSTERGÖTLANDS LÄN</t>
        </is>
      </c>
      <c r="G393" t="inlineStr">
        <is>
          <t>MOTALA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12274-2022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44637</v>
      </c>
      <c r="E394" s="1" t="n">
        <v>46225</v>
      </c>
      <c r="F394" t="inlineStr">
        <is>
          <t>ÖSTERGÖTLANDS LÄN</t>
        </is>
      </c>
      <c r="G394" t="inlineStr">
        <is>
          <t>MOTALA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12643-2022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44641</v>
      </c>
      <c r="E395" s="1" t="n">
        <v>46225</v>
      </c>
      <c r="F395" t="inlineStr">
        <is>
          <t>ÖSTERGÖTLANDS LÄN</t>
        </is>
      </c>
      <c r="G395" t="inlineStr">
        <is>
          <t>MOTALA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4743-2022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44592</v>
      </c>
      <c r="E396" s="1" t="n">
        <v>46225</v>
      </c>
      <c r="F396" t="inlineStr">
        <is>
          <t>ÖSTERGÖTLANDS LÄN</t>
        </is>
      </c>
      <c r="G396" t="inlineStr">
        <is>
          <t>MOTALA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15599-2024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45401</v>
      </c>
      <c r="E397" s="1" t="n">
        <v>46225</v>
      </c>
      <c r="F397" t="inlineStr">
        <is>
          <t>ÖSTERGÖTLANDS LÄN</t>
        </is>
      </c>
      <c r="G397" t="inlineStr">
        <is>
          <t>MOTALA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27965-2024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45476</v>
      </c>
      <c r="E398" s="1" t="n">
        <v>46225</v>
      </c>
      <c r="F398" t="inlineStr">
        <is>
          <t>ÖSTERGÖTLANDS LÄN</t>
        </is>
      </c>
      <c r="G398" t="inlineStr">
        <is>
          <t>MOTALA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45425</v>
      </c>
      <c r="E399" s="1" t="n">
        <v>46225</v>
      </c>
      <c r="F399" t="inlineStr">
        <is>
          <t>ÖSTERGÖTLANDS LÄN</t>
        </is>
      </c>
      <c r="G399" t="inlineStr">
        <is>
          <t>MOTALA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44930</v>
      </c>
      <c r="E400" s="1" t="n">
        <v>46225</v>
      </c>
      <c r="F400" t="inlineStr">
        <is>
          <t>ÖSTERGÖTLANDS LÄN</t>
        </is>
      </c>
      <c r="G400" t="inlineStr">
        <is>
          <t>MOTALA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57992-2021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44487</v>
      </c>
      <c r="E401" s="1" t="n">
        <v>46225</v>
      </c>
      <c r="F401" t="inlineStr">
        <is>
          <t>ÖSTERGÖTLANDS LÄN</t>
        </is>
      </c>
      <c r="G401" t="inlineStr">
        <is>
          <t>MOTALA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44573</v>
      </c>
      <c r="E402" s="1" t="n">
        <v>46225</v>
      </c>
      <c r="F402" t="inlineStr">
        <is>
          <t>ÖSTERGÖTLANDS LÄN</t>
        </is>
      </c>
      <c r="G402" t="inlineStr">
        <is>
          <t>MOTALA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55395-2022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44887</v>
      </c>
      <c r="E403" s="1" t="n">
        <v>46225</v>
      </c>
      <c r="F403" t="inlineStr">
        <is>
          <t>ÖSTERGÖTLANDS LÄN</t>
        </is>
      </c>
      <c r="G403" t="inlineStr">
        <is>
          <t>MOTALA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44931</v>
      </c>
      <c r="E404" s="1" t="n">
        <v>46225</v>
      </c>
      <c r="F404" t="inlineStr">
        <is>
          <t>ÖSTERGÖTLANDS LÄN</t>
        </is>
      </c>
      <c r="G404" t="inlineStr">
        <is>
          <t>MOTALA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2028-2022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44575</v>
      </c>
      <c r="E405" s="1" t="n">
        <v>46225</v>
      </c>
      <c r="F405" t="inlineStr">
        <is>
          <t>ÖSTERGÖTLANDS LÄN</t>
        </is>
      </c>
      <c r="G405" t="inlineStr">
        <is>
          <t>MOTALA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65566-2021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44516</v>
      </c>
      <c r="E406" s="1" t="n">
        <v>46225</v>
      </c>
      <c r="F406" t="inlineStr">
        <is>
          <t>ÖSTERGÖTLANDS LÄN</t>
        </is>
      </c>
      <c r="G406" t="inlineStr">
        <is>
          <t>MOTALA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50785-2021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44459</v>
      </c>
      <c r="E407" s="1" t="n">
        <v>46225</v>
      </c>
      <c r="F407" t="inlineStr">
        <is>
          <t>ÖSTERGÖTLANDS LÄN</t>
        </is>
      </c>
      <c r="G407" t="inlineStr">
        <is>
          <t>MOTALA</t>
        </is>
      </c>
      <c r="H407" t="inlineStr">
        <is>
          <t>Kyrkan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27418-2022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44742</v>
      </c>
      <c r="E408" s="1" t="n">
        <v>46225</v>
      </c>
      <c r="F408" t="inlineStr">
        <is>
          <t>ÖSTERGÖTLANDS LÄN</t>
        </is>
      </c>
      <c r="G408" t="inlineStr">
        <is>
          <t>MOTALA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8724-2022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44613</v>
      </c>
      <c r="E409" s="1" t="n">
        <v>46225</v>
      </c>
      <c r="F409" t="inlineStr">
        <is>
          <t>ÖSTERGÖTLANDS LÄN</t>
        </is>
      </c>
      <c r="G409" t="inlineStr">
        <is>
          <t>MOTALA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16586-2023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45030</v>
      </c>
      <c r="E410" s="1" t="n">
        <v>46225</v>
      </c>
      <c r="F410" t="inlineStr">
        <is>
          <t>ÖSTERGÖTLANDS LÄN</t>
        </is>
      </c>
      <c r="G410" t="inlineStr">
        <is>
          <t>MOTALA</t>
        </is>
      </c>
      <c r="H410" t="inlineStr">
        <is>
          <t>Kyrkan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24247-2022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44725</v>
      </c>
      <c r="E411" s="1" t="n">
        <v>46225</v>
      </c>
      <c r="F411" t="inlineStr">
        <is>
          <t>ÖSTERGÖTLANDS LÄN</t>
        </is>
      </c>
      <c r="G411" t="inlineStr">
        <is>
          <t>MOTALA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44566</v>
      </c>
      <c r="E412" s="1" t="n">
        <v>46225</v>
      </c>
      <c r="F412" t="inlineStr">
        <is>
          <t>ÖSTERGÖTLANDS LÄN</t>
        </is>
      </c>
      <c r="G412" t="inlineStr">
        <is>
          <t>MOTALA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45034</v>
      </c>
      <c r="E413" s="1" t="n">
        <v>46225</v>
      </c>
      <c r="F413" t="inlineStr">
        <is>
          <t>ÖSTERGÖTLANDS LÄN</t>
        </is>
      </c>
      <c r="G413" t="inlineStr">
        <is>
          <t>MOTALA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2201-2023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44942</v>
      </c>
      <c r="E414" s="1" t="n">
        <v>46225</v>
      </c>
      <c r="F414" t="inlineStr">
        <is>
          <t>ÖSTERGÖTLANDS LÄN</t>
        </is>
      </c>
      <c r="G414" t="inlineStr">
        <is>
          <t>MOTALA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45659</v>
      </c>
      <c r="E415" s="1" t="n">
        <v>46225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50082-2022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44865</v>
      </c>
      <c r="E416" s="1" t="n">
        <v>46225</v>
      </c>
      <c r="F416" t="inlineStr">
        <is>
          <t>ÖSTERGÖTLANDS LÄN</t>
        </is>
      </c>
      <c r="G416" t="inlineStr">
        <is>
          <t>MOTALA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45091</v>
      </c>
      <c r="E417" s="1" t="n">
        <v>46225</v>
      </c>
      <c r="F417" t="inlineStr">
        <is>
          <t>ÖSTERGÖTLANDS LÄN</t>
        </is>
      </c>
      <c r="G417" t="inlineStr">
        <is>
          <t>MOTALA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41937-2022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44830</v>
      </c>
      <c r="E418" s="1" t="n">
        <v>46225</v>
      </c>
      <c r="F418" t="inlineStr">
        <is>
          <t>ÖSTERGÖTLANDS LÄN</t>
        </is>
      </c>
      <c r="G418" t="inlineStr">
        <is>
          <t>MOTALA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45114</v>
      </c>
      <c r="E419" s="1" t="n">
        <v>46225</v>
      </c>
      <c r="F419" t="inlineStr">
        <is>
          <t>ÖSTERGÖTLANDS LÄN</t>
        </is>
      </c>
      <c r="G419" t="inlineStr">
        <is>
          <t>MOTALA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15544-2025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45747</v>
      </c>
      <c r="E420" s="1" t="n">
        <v>46225</v>
      </c>
      <c r="F420" t="inlineStr">
        <is>
          <t>ÖSTERGÖTLANDS LÄN</t>
        </is>
      </c>
      <c r="G420" t="inlineStr">
        <is>
          <t>MOTALA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45294</v>
      </c>
      <c r="E421" s="1" t="n">
        <v>46225</v>
      </c>
      <c r="F421" t="inlineStr">
        <is>
          <t>ÖSTERGÖTLANDS LÄN</t>
        </is>
      </c>
      <c r="G421" t="inlineStr">
        <is>
          <t>MOTALA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44942</v>
      </c>
      <c r="E422" s="1" t="n">
        <v>46225</v>
      </c>
      <c r="F422" t="inlineStr">
        <is>
          <t>ÖSTERGÖTLANDS LÄN</t>
        </is>
      </c>
      <c r="G422" t="inlineStr">
        <is>
          <t>MOTALA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21527-2023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45061</v>
      </c>
      <c r="E423" s="1" t="n">
        <v>46225</v>
      </c>
      <c r="F423" t="inlineStr">
        <is>
          <t>ÖSTERGÖTLANDS LÄN</t>
        </is>
      </c>
      <c r="G423" t="inlineStr">
        <is>
          <t>MOTALA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51092-2024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46225</v>
      </c>
      <c r="F424" t="inlineStr">
        <is>
          <t>ÖSTERGÖTLANDS LÄN</t>
        </is>
      </c>
      <c r="G424" t="inlineStr">
        <is>
          <t>MOTALA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46225</v>
      </c>
      <c r="F425" t="inlineStr">
        <is>
          <t>ÖSTERGÖTLANDS LÄN</t>
        </is>
      </c>
      <c r="G425" t="inlineStr">
        <is>
          <t>MOTALA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24090-2023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45079</v>
      </c>
      <c r="E426" s="1" t="n">
        <v>46225</v>
      </c>
      <c r="F426" t="inlineStr">
        <is>
          <t>ÖSTERGÖTLANDS LÄN</t>
        </is>
      </c>
      <c r="G426" t="inlineStr">
        <is>
          <t>MOTALA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64164-2023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45279</v>
      </c>
      <c r="E427" s="1" t="n">
        <v>46225</v>
      </c>
      <c r="F427" t="inlineStr">
        <is>
          <t>ÖSTERGÖTLANDS LÄN</t>
        </is>
      </c>
      <c r="G427" t="inlineStr">
        <is>
          <t>MOTALA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44937</v>
      </c>
      <c r="E428" s="1" t="n">
        <v>46225</v>
      </c>
      <c r="F428" t="inlineStr">
        <is>
          <t>ÖSTERGÖTLANDS LÄN</t>
        </is>
      </c>
      <c r="G428" t="inlineStr">
        <is>
          <t>MOTALA</t>
        </is>
      </c>
      <c r="H428" t="inlineStr">
        <is>
          <t>Kommuner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47905-2024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46225</v>
      </c>
      <c r="F429" t="inlineStr">
        <is>
          <t>ÖSTERGÖTLANDS LÄN</t>
        </is>
      </c>
      <c r="G429" t="inlineStr">
        <is>
          <t>MOTALA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24701-2024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45460</v>
      </c>
      <c r="E430" s="1" t="n">
        <v>46225</v>
      </c>
      <c r="F430" t="inlineStr">
        <is>
          <t>ÖSTERGÖTLANDS LÄN</t>
        </is>
      </c>
      <c r="G430" t="inlineStr">
        <is>
          <t>MOTALA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51638-2023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46225</v>
      </c>
      <c r="F431" t="inlineStr">
        <is>
          <t>ÖSTERGÖTLANDS LÄN</t>
        </is>
      </c>
      <c r="G431" t="inlineStr">
        <is>
          <t>MOTALA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6991-2023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44967</v>
      </c>
      <c r="E432" s="1" t="n">
        <v>46225</v>
      </c>
      <c r="F432" t="inlineStr">
        <is>
          <t>ÖSTERGÖTLANDS LÄN</t>
        </is>
      </c>
      <c r="G432" t="inlineStr">
        <is>
          <t>MOTALA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6996-2023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44967</v>
      </c>
      <c r="E433" s="1" t="n">
        <v>46225</v>
      </c>
      <c r="F433" t="inlineStr">
        <is>
          <t>ÖSTERGÖTLANDS LÄN</t>
        </is>
      </c>
      <c r="G433" t="inlineStr">
        <is>
          <t>MOTALA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44984</v>
      </c>
      <c r="E434" s="1" t="n">
        <v>46225</v>
      </c>
      <c r="F434" t="inlineStr">
        <is>
          <t>ÖSTERGÖTLANDS LÄN</t>
        </is>
      </c>
      <c r="G434" t="inlineStr">
        <is>
          <t>MOTALA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46225</v>
      </c>
      <c r="F435" t="inlineStr">
        <is>
          <t>ÖSTERGÖTLANDS LÄN</t>
        </is>
      </c>
      <c r="G435" t="inlineStr">
        <is>
          <t>MOTALA</t>
        </is>
      </c>
      <c r="H435" t="inlineStr">
        <is>
          <t>Allmännings- och besparingsskogar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46225</v>
      </c>
      <c r="F436" t="inlineStr">
        <is>
          <t>ÖSTERGÖTLANDS LÄN</t>
        </is>
      </c>
      <c r="G436" t="inlineStr">
        <is>
          <t>MOTALA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19526-2024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45429</v>
      </c>
      <c r="E437" s="1" t="n">
        <v>46225</v>
      </c>
      <c r="F437" t="inlineStr">
        <is>
          <t>ÖSTERGÖTLANDS LÄN</t>
        </is>
      </c>
      <c r="G437" t="inlineStr">
        <is>
          <t>MOTALA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23580-2024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45454</v>
      </c>
      <c r="E438" s="1" t="n">
        <v>46225</v>
      </c>
      <c r="F438" t="inlineStr">
        <is>
          <t>ÖSTERGÖTLANDS LÄN</t>
        </is>
      </c>
      <c r="G438" t="inlineStr">
        <is>
          <t>MOTALA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45215</v>
      </c>
      <c r="E439" s="1" t="n">
        <v>46225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21309-2025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45781</v>
      </c>
      <c r="E440" s="1" t="n">
        <v>46225</v>
      </c>
      <c r="F440" t="inlineStr">
        <is>
          <t>ÖSTERGÖTLANDS LÄN</t>
        </is>
      </c>
      <c r="G440" t="inlineStr">
        <is>
          <t>MOTALA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8352-2025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46225</v>
      </c>
      <c r="F441" t="inlineStr">
        <is>
          <t>ÖSTERGÖTLANDS LÄN</t>
        </is>
      </c>
      <c r="G441" t="inlineStr">
        <is>
          <t>MOTALA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53781-2024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46225</v>
      </c>
      <c r="F442" t="inlineStr">
        <is>
          <t>ÖSTERGÖTLANDS LÄN</t>
        </is>
      </c>
      <c r="G442" t="inlineStr">
        <is>
          <t>MOTALA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26606-2024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45469</v>
      </c>
      <c r="E443" s="1" t="n">
        <v>46225</v>
      </c>
      <c r="F443" t="inlineStr">
        <is>
          <t>ÖSTERGÖTLANDS LÄN</t>
        </is>
      </c>
      <c r="G443" t="inlineStr">
        <is>
          <t>MOTALA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45589</v>
      </c>
      <c r="E444" s="1" t="n">
        <v>46225</v>
      </c>
      <c r="F444" t="inlineStr">
        <is>
          <t>ÖSTERGÖTLANDS LÄN</t>
        </is>
      </c>
      <c r="G444" t="inlineStr">
        <is>
          <t>MOTALA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46225</v>
      </c>
      <c r="F445" t="inlineStr">
        <is>
          <t>ÖSTERGÖTLANDS LÄN</t>
        </is>
      </c>
      <c r="G445" t="inlineStr">
        <is>
          <t>MOTALA</t>
        </is>
      </c>
      <c r="H445" t="inlineStr">
        <is>
          <t>Allmännings- och besparingsskogar</t>
        </is>
      </c>
      <c r="I445" t="n">
        <v>37.7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51728-2024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45604</v>
      </c>
      <c r="E446" s="1" t="n">
        <v>46225</v>
      </c>
      <c r="F446" t="inlineStr">
        <is>
          <t>ÖSTERGÖTLANDS LÄN</t>
        </is>
      </c>
      <c r="G446" t="inlineStr">
        <is>
          <t>MOTALA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45632</v>
      </c>
      <c r="E447" s="1" t="n">
        <v>46225</v>
      </c>
      <c r="F447" t="inlineStr">
        <is>
          <t>ÖSTERGÖTLANDS LÄN</t>
        </is>
      </c>
      <c r="G447" t="inlineStr">
        <is>
          <t>MOTALA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51648-2023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45222</v>
      </c>
      <c r="E448" s="1" t="n">
        <v>46225</v>
      </c>
      <c r="F448" t="inlineStr">
        <is>
          <t>ÖSTERGÖTLANDS LÄN</t>
        </is>
      </c>
      <c r="G448" t="inlineStr">
        <is>
          <t>MOTALA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45666</v>
      </c>
      <c r="E449" s="1" t="n">
        <v>46225</v>
      </c>
      <c r="F449" t="inlineStr">
        <is>
          <t>ÖSTERGÖTLANDS LÄN</t>
        </is>
      </c>
      <c r="G449" t="inlineStr">
        <is>
          <t>MOTALA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57506-2024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45629</v>
      </c>
      <c r="E450" s="1" t="n">
        <v>46225</v>
      </c>
      <c r="F450" t="inlineStr">
        <is>
          <t>ÖSTERGÖTLANDS LÄN</t>
        </is>
      </c>
      <c r="G450" t="inlineStr">
        <is>
          <t>MOTALA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23757-2025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45793</v>
      </c>
      <c r="E451" s="1" t="n">
        <v>46225</v>
      </c>
      <c r="F451" t="inlineStr">
        <is>
          <t>ÖSTERGÖTLANDS LÄN</t>
        </is>
      </c>
      <c r="G451" t="inlineStr">
        <is>
          <t>MOTALA</t>
        </is>
      </c>
      <c r="H451" t="inlineStr">
        <is>
          <t>Allmännings- och besparingsskogar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60669-2024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46225</v>
      </c>
      <c r="F452" t="inlineStr">
        <is>
          <t>ÖSTERGÖTLANDS LÄN</t>
        </is>
      </c>
      <c r="G452" t="inlineStr">
        <is>
          <t>MOTALA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46225</v>
      </c>
      <c r="F453" t="inlineStr">
        <is>
          <t>ÖSTERGÖTLANDS LÄN</t>
        </is>
      </c>
      <c r="G453" t="inlineStr">
        <is>
          <t>MOTALA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45689</v>
      </c>
      <c r="E454" s="1" t="n">
        <v>46225</v>
      </c>
      <c r="F454" t="inlineStr">
        <is>
          <t>ÖSTERGÖTLANDS LÄN</t>
        </is>
      </c>
      <c r="G454" t="inlineStr">
        <is>
          <t>MOTALA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38881-2024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45547</v>
      </c>
      <c r="E455" s="1" t="n">
        <v>46225</v>
      </c>
      <c r="F455" t="inlineStr">
        <is>
          <t>ÖSTERGÖTLANDS LÄN</t>
        </is>
      </c>
      <c r="G455" t="inlineStr">
        <is>
          <t>MOTALA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45798</v>
      </c>
      <c r="E456" s="1" t="n">
        <v>46225</v>
      </c>
      <c r="F456" t="inlineStr">
        <is>
          <t>ÖSTERGÖTLANDS LÄN</t>
        </is>
      </c>
      <c r="G456" t="inlineStr">
        <is>
          <t>MOTALA</t>
        </is>
      </c>
      <c r="H456" t="inlineStr">
        <is>
          <t>Sveaskog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3262-2024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45526</v>
      </c>
      <c r="E457" s="1" t="n">
        <v>46225</v>
      </c>
      <c r="F457" t="inlineStr">
        <is>
          <t>ÖSTERGÖTLANDS LÄN</t>
        </is>
      </c>
      <c r="G457" t="inlineStr">
        <is>
          <t>MOTALA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3481-2023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45205</v>
      </c>
      <c r="E458" s="1" t="n">
        <v>46225</v>
      </c>
      <c r="F458" t="inlineStr">
        <is>
          <t>ÖSTERGÖTLANDS LÄN</t>
        </is>
      </c>
      <c r="G458" t="inlineStr">
        <is>
          <t>MOTALA</t>
        </is>
      </c>
      <c r="H458" t="inlineStr">
        <is>
          <t>Sveaskog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2511-2024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45474</v>
      </c>
      <c r="E459" s="1" t="n">
        <v>46225</v>
      </c>
      <c r="F459" t="inlineStr">
        <is>
          <t>ÖSTERGÖTLANDS LÄN</t>
        </is>
      </c>
      <c r="G459" t="inlineStr">
        <is>
          <t>MOTALA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2535-2024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46225</v>
      </c>
      <c r="F460" t="inlineStr">
        <is>
          <t>ÖSTERGÖTLANDS LÄN</t>
        </is>
      </c>
      <c r="G460" t="inlineStr">
        <is>
          <t>MOTALA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1264-2025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45763</v>
      </c>
      <c r="E461" s="1" t="n">
        <v>46225</v>
      </c>
      <c r="F461" t="inlineStr">
        <is>
          <t>ÖSTERGÖTLANDS LÄN</t>
        </is>
      </c>
      <c r="G461" t="inlineStr">
        <is>
          <t>MOTALA</t>
        </is>
      </c>
      <c r="H461" t="inlineStr">
        <is>
          <t>Sveaskog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1475-2025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45786</v>
      </c>
      <c r="E462" s="1" t="n">
        <v>46225</v>
      </c>
      <c r="F462" t="inlineStr">
        <is>
          <t>ÖSTERGÖTLANDS LÄN</t>
        </is>
      </c>
      <c r="G462" t="inlineStr">
        <is>
          <t>MOTALA</t>
        </is>
      </c>
      <c r="H462" t="inlineStr">
        <is>
          <t>Sveaskog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1584-2025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45796</v>
      </c>
      <c r="E463" s="1" t="n">
        <v>46225</v>
      </c>
      <c r="F463" t="inlineStr">
        <is>
          <t>ÖSTERGÖTLANDS LÄN</t>
        </is>
      </c>
      <c r="G463" t="inlineStr">
        <is>
          <t>MOTALA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421-2026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46071</v>
      </c>
      <c r="E464" s="1" t="n">
        <v>46225</v>
      </c>
      <c r="F464" t="inlineStr">
        <is>
          <t>ÖSTERGÖTLANDS LÄN</t>
        </is>
      </c>
      <c r="G464" t="inlineStr">
        <is>
          <t>MOTALA</t>
        </is>
      </c>
      <c r="I464" t="n">
        <v>11.2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523-2026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46077</v>
      </c>
      <c r="E465" s="1" t="n">
        <v>46225</v>
      </c>
      <c r="F465" t="inlineStr">
        <is>
          <t>ÖSTERGÖTLANDS LÄN</t>
        </is>
      </c>
      <c r="G465" t="inlineStr">
        <is>
          <t>MOTALA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>
      <c r="A466" t="inlineStr">
        <is>
          <t>S 820-2026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46104</v>
      </c>
      <c r="E466" s="1" t="n">
        <v>46225</v>
      </c>
      <c r="F466" t="inlineStr">
        <is>
          <t>ÖSTERGÖTLANDS LÄN</t>
        </is>
      </c>
      <c r="G466" t="inlineStr">
        <is>
          <t>MOTALA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2026-07-22T01:39:35Z</dcterms:created>
  <dcterms:modified xmlns:dcterms="http://purl.org/dc/terms/" xmlns:xsi="http://www.w3.org/2001/XMLSchema-instance" xsi:type="dcterms:W3CDTF">2026-07-22T01:39:47Z</dcterms:modified>
</cp:coreProperties>
</file>