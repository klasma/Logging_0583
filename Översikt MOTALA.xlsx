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46203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40801-2025</t>
        </is>
      </c>
      <c r="B3" s="1" t="n">
        <v>45897</v>
      </c>
      <c r="C3" s="1" t="n">
        <v>46203</v>
      </c>
      <c r="D3" t="inlineStr">
        <is>
          <t>ÖSTERGÖTLANDS LÄN</t>
        </is>
      </c>
      <c r="E3" t="inlineStr">
        <is>
          <t>MOTALA</t>
        </is>
      </c>
      <c r="G3" t="n">
        <v>11.4</v>
      </c>
      <c r="H3" t="n">
        <v>2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Raggbock
Dropptaggsvamp
Talltita
Mindre märgborre
Thomsons trägnagare
Vågbandad barkbock
Spillkråka</t>
        </is>
      </c>
      <c r="S3">
        <f>HYPERLINK("https://klasma.github.io/Logging_0583/artfynd/A 40801-2025 artfynd.xlsx", "A 40801-2025")</f>
        <v/>
      </c>
      <c r="T3">
        <f>HYPERLINK("https://klasma.github.io/Logging_0583/kartor/A 40801-2025 karta.png", "A 40801-2025")</f>
        <v/>
      </c>
      <c r="V3">
        <f>HYPERLINK("https://klasma.github.io/Logging_0583/klagomål/A 40801-2025 FSC-klagomål.docx", "A 40801-2025")</f>
        <v/>
      </c>
      <c r="W3">
        <f>HYPERLINK("https://klasma.github.io/Logging_0583/klagomålsmail/A 40801-2025 FSC-klagomål mail.docx", "A 40801-2025")</f>
        <v/>
      </c>
      <c r="X3">
        <f>HYPERLINK("https://klasma.github.io/Logging_0583/tillsyn/A 40801-2025 tillsynsbegäran.docx", "A 40801-2025")</f>
        <v/>
      </c>
      <c r="Y3">
        <f>HYPERLINK("https://klasma.github.io/Logging_0583/tillsynsmail/A 40801-2025 tillsynsbegäran mail.docx", "A 40801-2025")</f>
        <v/>
      </c>
      <c r="Z3">
        <f>HYPERLINK("https://klasma.github.io/Logging_0583/fåglar/A 40801-2025 prioriterade fågelarter.docx", "A 40801-2025")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46203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Dropptaggsvamp
Motaggsvamp
Talltita
Bronshjon
Flagellkvastmossa
Grovticka
Spillkråka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63217-2025</t>
        </is>
      </c>
      <c r="B5" s="1" t="n">
        <v>46010</v>
      </c>
      <c r="C5" s="1" t="n">
        <v>46203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Dropptaggsvamp
Gropticka
Tallticka
Bronshjon
Mindre märgborre
Spillkråka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17738-2026</t>
        </is>
      </c>
      <c r="B6" s="1" t="n">
        <v>46122</v>
      </c>
      <c r="C6" s="1" t="n">
        <v>46203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8.699999999999999</v>
      </c>
      <c r="H6" t="n">
        <v>2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Gullpudra
Björksplintborre
Thomsons trägnagare
Vågbandad barkbock
Blåsippa</t>
        </is>
      </c>
      <c r="S6">
        <f>HYPERLINK("https://klasma.github.io/Logging_0583/artfynd/A 17738-2026 artfynd.xlsx", "A 17738-2026")</f>
        <v/>
      </c>
      <c r="T6">
        <f>HYPERLINK("https://klasma.github.io/Logging_0583/kartor/A 17738-2026 karta.png", "A 17738-2026")</f>
        <v/>
      </c>
      <c r="U6">
        <f>HYPERLINK("https://klasma.github.io/Logging_0583/knärot/A 17738-2026 karta knärot.png", "A 17738-2026")</f>
        <v/>
      </c>
      <c r="V6">
        <f>HYPERLINK("https://klasma.github.io/Logging_0583/klagomål/A 17738-2026 FSC-klagomål.docx", "A 17738-2026")</f>
        <v/>
      </c>
      <c r="W6">
        <f>HYPERLINK("https://klasma.github.io/Logging_0583/klagomålsmail/A 17738-2026 FSC-klagomål mail.docx", "A 17738-2026")</f>
        <v/>
      </c>
      <c r="X6">
        <f>HYPERLINK("https://klasma.github.io/Logging_0583/tillsyn/A 17738-2026 tillsynsbegäran.docx", "A 17738-2026")</f>
        <v/>
      </c>
      <c r="Y6">
        <f>HYPERLINK("https://klasma.github.io/Logging_0583/tillsynsmail/A 17738-2026 tillsynsbegäran mail.docx", "A 17738-2026")</f>
        <v/>
      </c>
    </row>
    <row r="7" ht="15" customHeight="1">
      <c r="A7" t="inlineStr">
        <is>
          <t>A 28395-2022</t>
        </is>
      </c>
      <c r="B7" s="1" t="n">
        <v>44747</v>
      </c>
      <c r="C7" s="1" t="n">
        <v>46203</v>
      </c>
      <c r="D7" t="inlineStr">
        <is>
          <t>ÖSTERGÖTLANDS LÄN</t>
        </is>
      </c>
      <c r="E7" t="inlineStr">
        <is>
          <t>MOTALA</t>
        </is>
      </c>
      <c r="G7" t="n">
        <v>8.300000000000001</v>
      </c>
      <c r="H7" t="n">
        <v>6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Skogsgås
Nattskärra
Tjäder
Gröngöling
Grönsiska
Sångsvan</t>
        </is>
      </c>
      <c r="S7">
        <f>HYPERLINK("https://klasma.github.io/Logging_0583/artfynd/A 28395-2022 artfynd.xlsx", "A 28395-2022")</f>
        <v/>
      </c>
      <c r="T7">
        <f>HYPERLINK("https://klasma.github.io/Logging_0583/kartor/A 28395-2022 karta.png", "A 28395-2022")</f>
        <v/>
      </c>
      <c r="V7">
        <f>HYPERLINK("https://klasma.github.io/Logging_0583/klagomål/A 28395-2022 FSC-klagomål.docx", "A 28395-2022")</f>
        <v/>
      </c>
      <c r="W7">
        <f>HYPERLINK("https://klasma.github.io/Logging_0583/klagomålsmail/A 28395-2022 FSC-klagomål mail.docx", "A 28395-2022")</f>
        <v/>
      </c>
      <c r="X7">
        <f>HYPERLINK("https://klasma.github.io/Logging_0583/tillsyn/A 28395-2022 tillsynsbegäran.docx", "A 28395-2022")</f>
        <v/>
      </c>
      <c r="Y7">
        <f>HYPERLINK("https://klasma.github.io/Logging_0583/tillsynsmail/A 28395-2022 tillsynsbegäran mail.docx", "A 28395-2022")</f>
        <v/>
      </c>
      <c r="Z7">
        <f>HYPERLINK("https://klasma.github.io/Logging_0583/fåglar/A 28395-2022 prioriterade fågelarter.docx", "A 28395-2022")</f>
        <v/>
      </c>
    </row>
    <row r="8" ht="15" customHeight="1">
      <c r="A8" t="inlineStr">
        <is>
          <t>A 17736-2026</t>
        </is>
      </c>
      <c r="B8" s="1" t="n">
        <v>46122</v>
      </c>
      <c r="C8" s="1" t="n">
        <v>46203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2.4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Järnsparv
Talltita
Björksplintborre
Grönsiska</t>
        </is>
      </c>
      <c r="S8">
        <f>HYPERLINK("https://klasma.github.io/Logging_0583/artfynd/A 17736-2026 artfynd.xlsx", "A 17736-2026")</f>
        <v/>
      </c>
      <c r="T8">
        <f>HYPERLINK("https://klasma.github.io/Logging_0583/kartor/A 17736-2026 karta.png", "A 17736-2026")</f>
        <v/>
      </c>
      <c r="V8">
        <f>HYPERLINK("https://klasma.github.io/Logging_0583/klagomål/A 17736-2026 FSC-klagomål.docx", "A 17736-2026")</f>
        <v/>
      </c>
      <c r="W8">
        <f>HYPERLINK("https://klasma.github.io/Logging_0583/klagomålsmail/A 17736-2026 FSC-klagomål mail.docx", "A 17736-2026")</f>
        <v/>
      </c>
      <c r="X8">
        <f>HYPERLINK("https://klasma.github.io/Logging_0583/tillsyn/A 17736-2026 tillsynsbegäran.docx", "A 17736-2026")</f>
        <v/>
      </c>
      <c r="Y8">
        <f>HYPERLINK("https://klasma.github.io/Logging_0583/tillsynsmail/A 17736-2026 tillsynsbegäran mail.docx", "A 17736-2026")</f>
        <v/>
      </c>
      <c r="Z8">
        <f>HYPERLINK("https://klasma.github.io/Logging_0583/fåglar/A 17736-2026 prioriterade fågelarter.docx", "A 17736-2026")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46203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</row>
    <row r="10" ht="15" customHeight="1">
      <c r="A10" t="inlineStr">
        <is>
          <t>A 11145-2026</t>
        </is>
      </c>
      <c r="B10" s="1" t="n">
        <v>46080</v>
      </c>
      <c r="C10" s="1" t="n">
        <v>46203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Björksplintborre
Spillkråka</t>
        </is>
      </c>
      <c r="S10">
        <f>HYPERLINK("https://klasma.github.io/Logging_0583/artfynd/A 11145-2026 artfynd.xlsx", "A 11145-2026")</f>
        <v/>
      </c>
      <c r="T10">
        <f>HYPERLINK("https://klasma.github.io/Logging_0583/kartor/A 11145-2026 karta.png", "A 11145-2026")</f>
        <v/>
      </c>
      <c r="V10">
        <f>HYPERLINK("https://klasma.github.io/Logging_0583/klagomål/A 11145-2026 FSC-klagomål.docx", "A 11145-2026")</f>
        <v/>
      </c>
      <c r="W10">
        <f>HYPERLINK("https://klasma.github.io/Logging_0583/klagomålsmail/A 11145-2026 FSC-klagomål mail.docx", "A 11145-2026")</f>
        <v/>
      </c>
      <c r="X10">
        <f>HYPERLINK("https://klasma.github.io/Logging_0583/tillsyn/A 11145-2026 tillsynsbegäran.docx", "A 11145-2026")</f>
        <v/>
      </c>
      <c r="Y10">
        <f>HYPERLINK("https://klasma.github.io/Logging_0583/tillsynsmail/A 11145-2026 tillsynsbegäran mail.docx", "A 11145-2026")</f>
        <v/>
      </c>
      <c r="Z10">
        <f>HYPERLINK("https://klasma.github.io/Logging_0583/fåglar/A 11145-2026 prioriterade fågelarter.docx", "A 11145-2026")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46203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1931-2025</t>
        </is>
      </c>
      <c r="B12" s="1" t="n">
        <v>45671</v>
      </c>
      <c r="C12" s="1" t="n">
        <v>46203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Tjäder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  <c r="Z12">
        <f>HYPERLINK("https://klasma.github.io/Logging_0583/fåglar/A 1931-2025 prioriterade fågelarter.docx", "A 1931-2025")</f>
        <v/>
      </c>
    </row>
    <row r="13" ht="15" customHeight="1">
      <c r="A13" t="inlineStr">
        <is>
          <t>A 53201-2025</t>
        </is>
      </c>
      <c r="B13" s="1" t="n">
        <v>45958</v>
      </c>
      <c r="C13" s="1" t="n">
        <v>46203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2153-2026</t>
        </is>
      </c>
      <c r="B14" s="1" t="n">
        <v>46036</v>
      </c>
      <c r="C14" s="1" t="n">
        <v>46203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20820-2026</t>
        </is>
      </c>
      <c r="B15" s="1" t="n">
        <v>46141</v>
      </c>
      <c r="C15" s="1" t="n">
        <v>46203</v>
      </c>
      <c r="D15" t="inlineStr">
        <is>
          <t>ÖSTERGÖTLANDS LÄN</t>
        </is>
      </c>
      <c r="E15" t="inlineStr">
        <is>
          <t>MOTALA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Bergsslok
Storrams</t>
        </is>
      </c>
      <c r="S15">
        <f>HYPERLINK("https://klasma.github.io/Logging_0583/artfynd/A 20820-2026 artfynd.xlsx", "A 20820-2026")</f>
        <v/>
      </c>
      <c r="T15">
        <f>HYPERLINK("https://klasma.github.io/Logging_0583/kartor/A 20820-2026 karta.png", "A 20820-2026")</f>
        <v/>
      </c>
      <c r="V15">
        <f>HYPERLINK("https://klasma.github.io/Logging_0583/klagomål/A 20820-2026 FSC-klagomål.docx", "A 20820-2026")</f>
        <v/>
      </c>
      <c r="W15">
        <f>HYPERLINK("https://klasma.github.io/Logging_0583/klagomålsmail/A 20820-2026 FSC-klagomål mail.docx", "A 20820-2026")</f>
        <v/>
      </c>
      <c r="X15">
        <f>HYPERLINK("https://klasma.github.io/Logging_0583/tillsyn/A 20820-2026 tillsynsbegäran.docx", "A 20820-2026")</f>
        <v/>
      </c>
      <c r="Y15">
        <f>HYPERLINK("https://klasma.github.io/Logging_0583/tillsynsmail/A 20820-2026 tillsynsbegäran mail.docx", "A 20820-2026")</f>
        <v/>
      </c>
    </row>
    <row r="16" ht="15" customHeight="1">
      <c r="A16" t="inlineStr">
        <is>
          <t>A 27887-2026</t>
        </is>
      </c>
      <c r="B16" s="1" t="n">
        <v>46191</v>
      </c>
      <c r="C16" s="1" t="n">
        <v>46203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HYPERLINK("https://klasma.github.io/Logging_0583/artfynd/A 27887-2026 artfynd.xlsx", "A 27887-2026")</f>
        <v/>
      </c>
      <c r="T16">
        <f>HYPERLINK("https://klasma.github.io/Logging_0583/kartor/A 27887-2026 karta.png", "A 27887-2026")</f>
        <v/>
      </c>
      <c r="V16">
        <f>HYPERLINK("https://klasma.github.io/Logging_0583/klagomål/A 27887-2026 FSC-klagomål.docx", "A 27887-2026")</f>
        <v/>
      </c>
      <c r="W16">
        <f>HYPERLINK("https://klasma.github.io/Logging_0583/klagomålsmail/A 27887-2026 FSC-klagomål mail.docx", "A 27887-2026")</f>
        <v/>
      </c>
      <c r="X16">
        <f>HYPERLINK("https://klasma.github.io/Logging_0583/tillsyn/A 27887-2026 tillsynsbegäran.docx", "A 27887-2026")</f>
        <v/>
      </c>
      <c r="Y16">
        <f>HYPERLINK("https://klasma.github.io/Logging_0583/tillsynsmail/A 27887-2026 tillsynsbegäran mail.docx", "A 27887-2026")</f>
        <v/>
      </c>
    </row>
    <row r="17" ht="15" customHeight="1">
      <c r="A17" t="inlineStr">
        <is>
          <t>A 44938-2025</t>
        </is>
      </c>
      <c r="B17" s="1" t="n">
        <v>45918</v>
      </c>
      <c r="C17" s="1" t="n">
        <v>46203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Revlummer</t>
        </is>
      </c>
      <c r="S17">
        <f>HYPERLINK("https://klasma.github.io/Logging_0583/artfynd/A 44938-2025 artfynd.xlsx", "A 44938-2025")</f>
        <v/>
      </c>
      <c r="T17">
        <f>HYPERLINK("https://klasma.github.io/Logging_0583/kartor/A 44938-2025 karta.png", "A 44938-2025")</f>
        <v/>
      </c>
      <c r="V17">
        <f>HYPERLINK("https://klasma.github.io/Logging_0583/klagomål/A 44938-2025 FSC-klagomål.docx", "A 44938-2025")</f>
        <v/>
      </c>
      <c r="W17">
        <f>HYPERLINK("https://klasma.github.io/Logging_0583/klagomålsmail/A 44938-2025 FSC-klagomål mail.docx", "A 44938-2025")</f>
        <v/>
      </c>
      <c r="X17">
        <f>HYPERLINK("https://klasma.github.io/Logging_0583/tillsyn/A 44938-2025 tillsynsbegäran.docx", "A 44938-2025")</f>
        <v/>
      </c>
      <c r="Y17">
        <f>HYPERLINK("https://klasma.github.io/Logging_0583/tillsynsmail/A 44938-2025 tillsynsbegäran mail.docx", "A 44938-2025")</f>
        <v/>
      </c>
    </row>
    <row r="18" ht="15" customHeight="1">
      <c r="A18" t="inlineStr">
        <is>
          <t>A 48392-2024</t>
        </is>
      </c>
      <c r="B18" s="1" t="n">
        <v>45590</v>
      </c>
      <c r="C18" s="1" t="n">
        <v>46203</v>
      </c>
      <c r="D18" t="inlineStr">
        <is>
          <t>ÖSTERGÖTLANDS LÄN</t>
        </is>
      </c>
      <c r="E18" t="inlineStr">
        <is>
          <t>MOTALA</t>
        </is>
      </c>
      <c r="G18" t="n">
        <v>0.6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Nattviol</t>
        </is>
      </c>
      <c r="S18">
        <f>HYPERLINK("https://klasma.github.io/Logging_0583/artfynd/A 48392-2024 artfynd.xlsx", "A 48392-2024")</f>
        <v/>
      </c>
      <c r="T18">
        <f>HYPERLINK("https://klasma.github.io/Logging_0583/kartor/A 48392-2024 karta.png", "A 48392-2024")</f>
        <v/>
      </c>
      <c r="V18">
        <f>HYPERLINK("https://klasma.github.io/Logging_0583/klagomål/A 48392-2024 FSC-klagomål.docx", "A 48392-2024")</f>
        <v/>
      </c>
      <c r="W18">
        <f>HYPERLINK("https://klasma.github.io/Logging_0583/klagomålsmail/A 48392-2024 FSC-klagomål mail.docx", "A 48392-2024")</f>
        <v/>
      </c>
      <c r="X18">
        <f>HYPERLINK("https://klasma.github.io/Logging_0583/tillsyn/A 48392-2024 tillsynsbegäran.docx", "A 48392-2024")</f>
        <v/>
      </c>
      <c r="Y18">
        <f>HYPERLINK("https://klasma.github.io/Logging_0583/tillsynsmail/A 48392-2024 tillsynsbegäran mail.docx", "A 48392-2024")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46203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Skogsalm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46203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72847-2021</t>
        </is>
      </c>
      <c r="B21" s="1" t="n">
        <v>44547</v>
      </c>
      <c r="C21" s="1" t="n">
        <v>46203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72847-2021 artfynd.xlsx", "A 72847-2021")</f>
        <v/>
      </c>
      <c r="T21">
        <f>HYPERLINK("https://klasma.github.io/Logging_0583/kartor/A 72847-2021 karta.png", "A 72847-2021")</f>
        <v/>
      </c>
      <c r="V21">
        <f>HYPERLINK("https://klasma.github.io/Logging_0583/klagomål/A 72847-2021 FSC-klagomål.docx", "A 72847-2021")</f>
        <v/>
      </c>
      <c r="W21">
        <f>HYPERLINK("https://klasma.github.io/Logging_0583/klagomålsmail/A 72847-2021 FSC-klagomål mail.docx", "A 72847-2021")</f>
        <v/>
      </c>
      <c r="X21">
        <f>HYPERLINK("https://klasma.github.io/Logging_0583/tillsyn/A 72847-2021 tillsynsbegäran.docx", "A 72847-2021")</f>
        <v/>
      </c>
      <c r="Y21">
        <f>HYPERLINK("https://klasma.github.io/Logging_0583/tillsynsmail/A 72847-2021 tillsynsbegäran mail.docx", "A 72847-2021")</f>
        <v/>
      </c>
    </row>
    <row r="22" ht="15" customHeight="1">
      <c r="A22" t="inlineStr">
        <is>
          <t>A 39620-2021</t>
        </is>
      </c>
      <c r="B22" s="1" t="n">
        <v>44413</v>
      </c>
      <c r="C22" s="1" t="n">
        <v>46203</v>
      </c>
      <c r="D22" t="inlineStr">
        <is>
          <t>ÖSTERGÖTLANDS LÄN</t>
        </is>
      </c>
      <c r="E22" t="inlineStr">
        <is>
          <t>MOTALA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HYPERLINK("https://klasma.github.io/Logging_0583/artfynd/A 39620-2021 artfynd.xlsx", "A 39620-2021")</f>
        <v/>
      </c>
      <c r="T22">
        <f>HYPERLINK("https://klasma.github.io/Logging_0583/kartor/A 39620-2021 karta.png", "A 39620-2021")</f>
        <v/>
      </c>
      <c r="V22">
        <f>HYPERLINK("https://klasma.github.io/Logging_0583/klagomål/A 39620-2021 FSC-klagomål.docx", "A 39620-2021")</f>
        <v/>
      </c>
      <c r="W22">
        <f>HYPERLINK("https://klasma.github.io/Logging_0583/klagomålsmail/A 39620-2021 FSC-klagomål mail.docx", "A 39620-2021")</f>
        <v/>
      </c>
      <c r="X22">
        <f>HYPERLINK("https://klasma.github.io/Logging_0583/tillsyn/A 39620-2021 tillsynsbegäran.docx", "A 39620-2021")</f>
        <v/>
      </c>
      <c r="Y22">
        <f>HYPERLINK("https://klasma.github.io/Logging_0583/tillsynsmail/A 39620-2021 tillsynsbegäran mail.docx", "A 39620-2021")</f>
        <v/>
      </c>
    </row>
    <row r="23" ht="15" customHeight="1">
      <c r="A23" t="inlineStr">
        <is>
          <t>A 42001-2022</t>
        </is>
      </c>
      <c r="B23" s="1" t="n">
        <v>44827</v>
      </c>
      <c r="C23" s="1" t="n">
        <v>46203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17.5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Pärluggla</t>
        </is>
      </c>
      <c r="S23">
        <f>HYPERLINK("https://klasma.github.io/Logging_0583/artfynd/A 42001-2022 artfynd.xlsx", "A 42001-2022")</f>
        <v/>
      </c>
      <c r="T23">
        <f>HYPERLINK("https://klasma.github.io/Logging_0583/kartor/A 42001-2022 karta.png", "A 42001-2022")</f>
        <v/>
      </c>
      <c r="V23">
        <f>HYPERLINK("https://klasma.github.io/Logging_0583/klagomål/A 42001-2022 FSC-klagomål.docx", "A 42001-2022")</f>
        <v/>
      </c>
      <c r="W23">
        <f>HYPERLINK("https://klasma.github.io/Logging_0583/klagomålsmail/A 42001-2022 FSC-klagomål mail.docx", "A 42001-2022")</f>
        <v/>
      </c>
      <c r="X23">
        <f>HYPERLINK("https://klasma.github.io/Logging_0583/tillsyn/A 42001-2022 tillsynsbegäran.docx", "A 42001-2022")</f>
        <v/>
      </c>
      <c r="Y23">
        <f>HYPERLINK("https://klasma.github.io/Logging_0583/tillsynsmail/A 42001-2022 tillsynsbegäran mail.docx", "A 42001-2022")</f>
        <v/>
      </c>
      <c r="Z23">
        <f>HYPERLINK("https://klasma.github.io/Logging_0583/fåglar/A 42001-2022 prioriterade fågelarter.docx", "A 42001-2022")</f>
        <v/>
      </c>
    </row>
    <row r="24" ht="15" customHeight="1">
      <c r="A24" t="inlineStr">
        <is>
          <t>A 12609-2025</t>
        </is>
      </c>
      <c r="B24" s="1" t="n">
        <v>45733</v>
      </c>
      <c r="C24" s="1" t="n">
        <v>46203</v>
      </c>
      <c r="D24" t="inlineStr">
        <is>
          <t>ÖSTERGÖTLANDS LÄN</t>
        </is>
      </c>
      <c r="E24" t="inlineStr">
        <is>
          <t>MOTALA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Stubbspretmossa</t>
        </is>
      </c>
      <c r="S24">
        <f>HYPERLINK("https://klasma.github.io/Logging_0583/artfynd/A 12609-2025 artfynd.xlsx", "A 12609-2025")</f>
        <v/>
      </c>
      <c r="T24">
        <f>HYPERLINK("https://klasma.github.io/Logging_0583/kartor/A 12609-2025 karta.png", "A 12609-2025")</f>
        <v/>
      </c>
      <c r="V24">
        <f>HYPERLINK("https://klasma.github.io/Logging_0583/klagomål/A 12609-2025 FSC-klagomål.docx", "A 12609-2025")</f>
        <v/>
      </c>
      <c r="W24">
        <f>HYPERLINK("https://klasma.github.io/Logging_0583/klagomålsmail/A 12609-2025 FSC-klagomål mail.docx", "A 12609-2025")</f>
        <v/>
      </c>
      <c r="X24">
        <f>HYPERLINK("https://klasma.github.io/Logging_0583/tillsyn/A 12609-2025 tillsynsbegäran.docx", "A 12609-2025")</f>
        <v/>
      </c>
      <c r="Y24">
        <f>HYPERLINK("https://klasma.github.io/Logging_0583/tillsynsmail/A 12609-2025 tillsynsbegäran mail.docx", "A 12609-2025")</f>
        <v/>
      </c>
    </row>
    <row r="25" ht="15" customHeight="1">
      <c r="A25" t="inlineStr">
        <is>
          <t>A 24686-2024</t>
        </is>
      </c>
      <c r="B25" s="1" t="n">
        <v>45460</v>
      </c>
      <c r="C25" s="1" t="n">
        <v>46203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50749-2024</t>
        </is>
      </c>
      <c r="B26" s="1" t="n">
        <v>45602</v>
      </c>
      <c r="C26" s="1" t="n">
        <v>46203</v>
      </c>
      <c r="D26" t="inlineStr">
        <is>
          <t>ÖSTERGÖTLANDS LÄN</t>
        </is>
      </c>
      <c r="E26" t="inlineStr">
        <is>
          <t>MOTALA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50749-2024 artfynd.xlsx", "A 50749-2024")</f>
        <v/>
      </c>
      <c r="T26">
        <f>HYPERLINK("https://klasma.github.io/Logging_0583/kartor/A 50749-2024 karta.png", "A 50749-2024")</f>
        <v/>
      </c>
      <c r="V26">
        <f>HYPERLINK("https://klasma.github.io/Logging_0583/klagomål/A 50749-2024 FSC-klagomål.docx", "A 50749-2024")</f>
        <v/>
      </c>
      <c r="W26">
        <f>HYPERLINK("https://klasma.github.io/Logging_0583/klagomålsmail/A 50749-2024 FSC-klagomål mail.docx", "A 50749-2024")</f>
        <v/>
      </c>
      <c r="X26">
        <f>HYPERLINK("https://klasma.github.io/Logging_0583/tillsyn/A 50749-2024 tillsynsbegäran.docx", "A 50749-2024")</f>
        <v/>
      </c>
      <c r="Y26">
        <f>HYPERLINK("https://klasma.github.io/Logging_0583/tillsynsmail/A 50749-2024 tillsynsbegäran mail.docx", "A 50749-2024")</f>
        <v/>
      </c>
    </row>
    <row r="27" ht="15" customHeight="1">
      <c r="A27" t="inlineStr">
        <is>
          <t>A 13690-2024</t>
        </is>
      </c>
      <c r="B27" s="1" t="n">
        <v>45390</v>
      </c>
      <c r="C27" s="1" t="n">
        <v>46203</v>
      </c>
      <c r="D27" t="inlineStr">
        <is>
          <t>ÖSTERGÖTLANDS LÄN</t>
        </is>
      </c>
      <c r="E27" t="inlineStr">
        <is>
          <t>MOTALA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HYPERLINK("https://klasma.github.io/Logging_0583/artfynd/A 13690-2024 artfynd.xlsx", "A 13690-2024")</f>
        <v/>
      </c>
      <c r="T27">
        <f>HYPERLINK("https://klasma.github.io/Logging_0583/kartor/A 13690-2024 karta.png", "A 13690-2024")</f>
        <v/>
      </c>
      <c r="V27">
        <f>HYPERLINK("https://klasma.github.io/Logging_0583/klagomål/A 13690-2024 FSC-klagomål.docx", "A 13690-2024")</f>
        <v/>
      </c>
      <c r="W27">
        <f>HYPERLINK("https://klasma.github.io/Logging_0583/klagomålsmail/A 13690-2024 FSC-klagomål mail.docx", "A 13690-2024")</f>
        <v/>
      </c>
      <c r="X27">
        <f>HYPERLINK("https://klasma.github.io/Logging_0583/tillsyn/A 13690-2024 tillsynsbegäran.docx", "A 13690-2024")</f>
        <v/>
      </c>
      <c r="Y27">
        <f>HYPERLINK("https://klasma.github.io/Logging_0583/tillsynsmail/A 13690-2024 tillsynsbegäran mail.docx", "A 13690-2024")</f>
        <v/>
      </c>
    </row>
    <row r="28" ht="15" customHeight="1">
      <c r="A28" t="inlineStr">
        <is>
          <t>A 47332-2025</t>
        </is>
      </c>
      <c r="B28" s="1" t="n">
        <v>45930</v>
      </c>
      <c r="C28" s="1" t="n">
        <v>46203</v>
      </c>
      <c r="D28" t="inlineStr">
        <is>
          <t>ÖSTERGÖTLANDS LÄN</t>
        </is>
      </c>
      <c r="E28" t="inlineStr">
        <is>
          <t>MOTALA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HYPERLINK("https://klasma.github.io/Logging_0583/artfynd/A 47332-2025 artfynd.xlsx", "A 47332-2025")</f>
        <v/>
      </c>
      <c r="T28">
        <f>HYPERLINK("https://klasma.github.io/Logging_0583/kartor/A 47332-2025 karta.png", "A 47332-2025")</f>
        <v/>
      </c>
      <c r="V28">
        <f>HYPERLINK("https://klasma.github.io/Logging_0583/klagomål/A 47332-2025 FSC-klagomål.docx", "A 47332-2025")</f>
        <v/>
      </c>
      <c r="W28">
        <f>HYPERLINK("https://klasma.github.io/Logging_0583/klagomålsmail/A 47332-2025 FSC-klagomål mail.docx", "A 47332-2025")</f>
        <v/>
      </c>
      <c r="X28">
        <f>HYPERLINK("https://klasma.github.io/Logging_0583/tillsyn/A 47332-2025 tillsynsbegäran.docx", "A 47332-2025")</f>
        <v/>
      </c>
      <c r="Y28">
        <f>HYPERLINK("https://klasma.github.io/Logging_0583/tillsynsmail/A 47332-2025 tillsynsbegäran mail.docx", "A 47332-2025")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46203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2194-2023</t>
        </is>
      </c>
      <c r="B30" s="1" t="n">
        <v>44942</v>
      </c>
      <c r="C30" s="1" t="n">
        <v>46203</v>
      </c>
      <c r="D30" t="inlineStr">
        <is>
          <t>ÖSTERGÖTLANDS LÄN</t>
        </is>
      </c>
      <c r="E30" t="inlineStr">
        <is>
          <t>MOTALA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HYPERLINK("https://klasma.github.io/Logging_0583/artfynd/A 2194-2023 artfynd.xlsx", "A 2194-2023")</f>
        <v/>
      </c>
      <c r="T30">
        <f>HYPERLINK("https://klasma.github.io/Logging_0583/kartor/A 2194-2023 karta.png", "A 2194-2023")</f>
        <v/>
      </c>
      <c r="V30">
        <f>HYPERLINK("https://klasma.github.io/Logging_0583/klagomål/A 2194-2023 FSC-klagomål.docx", "A 2194-2023")</f>
        <v/>
      </c>
      <c r="W30">
        <f>HYPERLINK("https://klasma.github.io/Logging_0583/klagomålsmail/A 2194-2023 FSC-klagomål mail.docx", "A 2194-2023")</f>
        <v/>
      </c>
      <c r="X30">
        <f>HYPERLINK("https://klasma.github.io/Logging_0583/tillsyn/A 2194-2023 tillsynsbegäran.docx", "A 2194-2023")</f>
        <v/>
      </c>
      <c r="Y30">
        <f>HYPERLINK("https://klasma.github.io/Logging_0583/tillsynsmail/A 2194-2023 tillsynsbegäran mail.docx", "A 2194-2023")</f>
        <v/>
      </c>
      <c r="Z30">
        <f>HYPERLINK("https://klasma.github.io/Logging_0583/fåglar/A 2194-2023 prioriterade fågelarter.docx", "A 2194-2023")</f>
        <v/>
      </c>
    </row>
    <row r="31" ht="15" customHeight="1">
      <c r="A31" t="inlineStr">
        <is>
          <t>A 17739-2026</t>
        </is>
      </c>
      <c r="B31" s="1" t="n">
        <v>46122</v>
      </c>
      <c r="C31" s="1" t="n">
        <v>46203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HYPERLINK("https://klasma.github.io/Logging_0583/artfynd/A 17739-2026 artfynd.xlsx", "A 17739-2026")</f>
        <v/>
      </c>
      <c r="T31">
        <f>HYPERLINK("https://klasma.github.io/Logging_0583/kartor/A 17739-2026 karta.png", "A 17739-2026")</f>
        <v/>
      </c>
      <c r="V31">
        <f>HYPERLINK("https://klasma.github.io/Logging_0583/klagomål/A 17739-2026 FSC-klagomål.docx", "A 17739-2026")</f>
        <v/>
      </c>
      <c r="W31">
        <f>HYPERLINK("https://klasma.github.io/Logging_0583/klagomålsmail/A 17739-2026 FSC-klagomål mail.docx", "A 17739-2026")</f>
        <v/>
      </c>
      <c r="X31">
        <f>HYPERLINK("https://klasma.github.io/Logging_0583/tillsyn/A 17739-2026 tillsynsbegäran.docx", "A 17739-2026")</f>
        <v/>
      </c>
      <c r="Y31">
        <f>HYPERLINK("https://klasma.github.io/Logging_0583/tillsynsmail/A 17739-2026 tillsynsbegäran mail.docx", "A 17739-2026")</f>
        <v/>
      </c>
      <c r="Z31">
        <f>HYPERLINK("https://klasma.github.io/Logging_0583/fåglar/A 17739-2026 prioriterade fågelarter.docx", "A 17739-2026")</f>
        <v/>
      </c>
    </row>
    <row r="32" ht="15" customHeight="1">
      <c r="A32" t="inlineStr">
        <is>
          <t>A 23975-2026</t>
        </is>
      </c>
      <c r="B32" s="1" t="n">
        <v>46167</v>
      </c>
      <c r="C32" s="1" t="n">
        <v>46203</v>
      </c>
      <c r="D32" t="inlineStr">
        <is>
          <t>ÖSTERGÖTLANDS LÄN</t>
        </is>
      </c>
      <c r="E32" t="inlineStr">
        <is>
          <t>MOTALA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HYPERLINK("https://klasma.github.io/Logging_0583/artfynd/A 23975-2026 artfynd.xlsx", "A 23975-2026")</f>
        <v/>
      </c>
      <c r="T32">
        <f>HYPERLINK("https://klasma.github.io/Logging_0583/kartor/A 23975-2026 karta.png", "A 23975-2026")</f>
        <v/>
      </c>
      <c r="U32">
        <f>HYPERLINK("https://klasma.github.io/Logging_0583/knärot/A 23975-2026 karta knärot.png", "A 23975-2026")</f>
        <v/>
      </c>
      <c r="V32">
        <f>HYPERLINK("https://klasma.github.io/Logging_0583/klagomål/A 23975-2026 FSC-klagomål.docx", "A 23975-2026")</f>
        <v/>
      </c>
      <c r="W32">
        <f>HYPERLINK("https://klasma.github.io/Logging_0583/klagomålsmail/A 23975-2026 FSC-klagomål mail.docx", "A 23975-2026")</f>
        <v/>
      </c>
      <c r="X32">
        <f>HYPERLINK("https://klasma.github.io/Logging_0583/tillsyn/A 23975-2026 tillsynsbegäran.docx", "A 23975-2026")</f>
        <v/>
      </c>
      <c r="Y32">
        <f>HYPERLINK("https://klasma.github.io/Logging_0583/tillsynsmail/A 23975-2026 tillsynsbegäran mail.docx", "A 23975-2026")</f>
        <v/>
      </c>
    </row>
    <row r="33" ht="15" customHeight="1">
      <c r="A33" t="inlineStr">
        <is>
          <t>A 17740-2026</t>
        </is>
      </c>
      <c r="B33" s="1" t="n">
        <v>46122</v>
      </c>
      <c r="C33" s="1" t="n">
        <v>46203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HYPERLINK("https://klasma.github.io/Logging_0583/artfynd/A 17740-2026 artfynd.xlsx", "A 17740-2026")</f>
        <v/>
      </c>
      <c r="T33">
        <f>HYPERLINK("https://klasma.github.io/Logging_0583/kartor/A 17740-2026 karta.png", "A 17740-2026")</f>
        <v/>
      </c>
      <c r="V33">
        <f>HYPERLINK("https://klasma.github.io/Logging_0583/klagomål/A 17740-2026 FSC-klagomål.docx", "A 17740-2026")</f>
        <v/>
      </c>
      <c r="W33">
        <f>HYPERLINK("https://klasma.github.io/Logging_0583/klagomålsmail/A 17740-2026 FSC-klagomål mail.docx", "A 17740-2026")</f>
        <v/>
      </c>
      <c r="X33">
        <f>HYPERLINK("https://klasma.github.io/Logging_0583/tillsyn/A 17740-2026 tillsynsbegäran.docx", "A 17740-2026")</f>
        <v/>
      </c>
      <c r="Y33">
        <f>HYPERLINK("https://klasma.github.io/Logging_0583/tillsynsmail/A 17740-2026 tillsynsbegäran mail.docx", "A 17740-2026")</f>
        <v/>
      </c>
    </row>
    <row r="34" ht="15" customHeight="1">
      <c r="A34" t="inlineStr">
        <is>
          <t>A 30955-2023</t>
        </is>
      </c>
      <c r="B34" s="1" t="n">
        <v>45103</v>
      </c>
      <c r="C34" s="1" t="n">
        <v>46203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HYPERLINK("https://klasma.github.io/Logging_0583/artfynd/A 30955-2023 artfynd.xlsx", "A 30955-2023")</f>
        <v/>
      </c>
      <c r="T34">
        <f>HYPERLINK("https://klasma.github.io/Logging_0583/kartor/A 30955-2023 karta.png", "A 30955-2023")</f>
        <v/>
      </c>
      <c r="V34">
        <f>HYPERLINK("https://klasma.github.io/Logging_0583/klagomål/A 30955-2023 FSC-klagomål.docx", "A 30955-2023")</f>
        <v/>
      </c>
      <c r="W34">
        <f>HYPERLINK("https://klasma.github.io/Logging_0583/klagomålsmail/A 30955-2023 FSC-klagomål mail.docx", "A 30955-2023")</f>
        <v/>
      </c>
      <c r="X34">
        <f>HYPERLINK("https://klasma.github.io/Logging_0583/tillsyn/A 30955-2023 tillsynsbegäran.docx", "A 30955-2023")</f>
        <v/>
      </c>
      <c r="Y34">
        <f>HYPERLINK("https://klasma.github.io/Logging_0583/tillsynsmail/A 30955-2023 tillsynsbegäran mail.docx", "A 30955-2023")</f>
        <v/>
      </c>
      <c r="Z34">
        <f>HYPERLINK("https://klasma.github.io/Logging_0583/fåglar/A 30955-2023 prioriterade fågelarter.docx", "A 30955-2023")</f>
        <v/>
      </c>
    </row>
    <row r="35" ht="15" customHeight="1">
      <c r="A35" t="inlineStr">
        <is>
          <t>A 24554-2025</t>
        </is>
      </c>
      <c r="B35" s="1" t="n">
        <v>45798</v>
      </c>
      <c r="C35" s="1" t="n">
        <v>46203</v>
      </c>
      <c r="D35" t="inlineStr">
        <is>
          <t>ÖSTERGÖTLANDS LÄN</t>
        </is>
      </c>
      <c r="E35" t="inlineStr">
        <is>
          <t>MOTALA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24554-2025 artfynd.xlsx", "A 24554-2025")</f>
        <v/>
      </c>
      <c r="T35">
        <f>HYPERLINK("https://klasma.github.io/Logging_0583/kartor/A 24554-2025 karta.png", "A 24554-2025")</f>
        <v/>
      </c>
      <c r="V35">
        <f>HYPERLINK("https://klasma.github.io/Logging_0583/klagomål/A 24554-2025 FSC-klagomål.docx", "A 24554-2025")</f>
        <v/>
      </c>
      <c r="W35">
        <f>HYPERLINK("https://klasma.github.io/Logging_0583/klagomålsmail/A 24554-2025 FSC-klagomål mail.docx", "A 24554-2025")</f>
        <v/>
      </c>
      <c r="X35">
        <f>HYPERLINK("https://klasma.github.io/Logging_0583/tillsyn/A 24554-2025 tillsynsbegäran.docx", "A 24554-2025")</f>
        <v/>
      </c>
      <c r="Y35">
        <f>HYPERLINK("https://klasma.github.io/Logging_0583/tillsynsmail/A 24554-2025 tillsynsbegäran mail.docx", "A 24554-2025")</f>
        <v/>
      </c>
    </row>
    <row r="36" ht="15" customHeight="1">
      <c r="A36" t="inlineStr">
        <is>
          <t>A 44814-2025</t>
        </is>
      </c>
      <c r="B36" s="1" t="n">
        <v>45918</v>
      </c>
      <c r="C36" s="1" t="n">
        <v>46203</v>
      </c>
      <c r="D36" t="inlineStr">
        <is>
          <t>ÖSTERGÖTLANDS LÄN</t>
        </is>
      </c>
      <c r="E36" t="inlineStr">
        <is>
          <t>MOTALA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HYPERLINK("https://klasma.github.io/Logging_0583/artfynd/A 44814-2025 artfynd.xlsx", "A 44814-2025")</f>
        <v/>
      </c>
      <c r="T36">
        <f>HYPERLINK("https://klasma.github.io/Logging_0583/kartor/A 44814-2025 karta.png", "A 44814-2025")</f>
        <v/>
      </c>
      <c r="V36">
        <f>HYPERLINK("https://klasma.github.io/Logging_0583/klagomål/A 44814-2025 FSC-klagomål.docx", "A 44814-2025")</f>
        <v/>
      </c>
      <c r="W36">
        <f>HYPERLINK("https://klasma.github.io/Logging_0583/klagomålsmail/A 44814-2025 FSC-klagomål mail.docx", "A 44814-2025")</f>
        <v/>
      </c>
      <c r="X36">
        <f>HYPERLINK("https://klasma.github.io/Logging_0583/tillsyn/A 44814-2025 tillsynsbegäran.docx", "A 44814-2025")</f>
        <v/>
      </c>
      <c r="Y36">
        <f>HYPERLINK("https://klasma.github.io/Logging_0583/tillsynsmail/A 44814-2025 tillsynsbegäran mail.docx", "A 44814-2025")</f>
        <v/>
      </c>
    </row>
    <row r="37" ht="15" customHeight="1">
      <c r="A37" t="inlineStr">
        <is>
          <t>A 27907-2026</t>
        </is>
      </c>
      <c r="B37" s="1" t="n">
        <v>46191</v>
      </c>
      <c r="C37" s="1" t="n">
        <v>46203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HYPERLINK("https://klasma.github.io/Logging_0583/artfynd/A 27907-2026 artfynd.xlsx", "A 27907-2026")</f>
        <v/>
      </c>
      <c r="T37">
        <f>HYPERLINK("https://klasma.github.io/Logging_0583/kartor/A 27907-2026 karta.png", "A 27907-2026")</f>
        <v/>
      </c>
      <c r="V37">
        <f>HYPERLINK("https://klasma.github.io/Logging_0583/klagomål/A 27907-2026 FSC-klagomål.docx", "A 27907-2026")</f>
        <v/>
      </c>
      <c r="W37">
        <f>HYPERLINK("https://klasma.github.io/Logging_0583/klagomålsmail/A 27907-2026 FSC-klagomål mail.docx", "A 27907-2026")</f>
        <v/>
      </c>
      <c r="X37">
        <f>HYPERLINK("https://klasma.github.io/Logging_0583/tillsyn/A 27907-2026 tillsynsbegäran.docx", "A 27907-2026")</f>
        <v/>
      </c>
      <c r="Y37">
        <f>HYPERLINK("https://klasma.github.io/Logging_0583/tillsynsmail/A 27907-2026 tillsynsbegäran mail.docx", "A 27907-2026")</f>
        <v/>
      </c>
      <c r="Z37">
        <f>HYPERLINK("https://klasma.github.io/Logging_0583/fåglar/A 27907-2026 prioriterade fågelarter.docx", "A 27907-2026")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46203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HYPERLINK("https://klasma.github.io/Logging_0583/artfynd/A 18729-2025 artfynd.xlsx", "A 18729-2025")</f>
        <v/>
      </c>
      <c r="T38">
        <f>HYPERLINK("https://klasma.github.io/Logging_0583/kartor/A 18729-2025 karta.png", "A 18729-2025")</f>
        <v/>
      </c>
      <c r="V38">
        <f>HYPERLINK("https://klasma.github.io/Logging_0583/klagomål/A 18729-2025 FSC-klagomål.docx", "A 18729-2025")</f>
        <v/>
      </c>
      <c r="W38">
        <f>HYPERLINK("https://klasma.github.io/Logging_0583/klagomålsmail/A 18729-2025 FSC-klagomål mail.docx", "A 18729-2025")</f>
        <v/>
      </c>
      <c r="X38">
        <f>HYPERLINK("https://klasma.github.io/Logging_0583/tillsyn/A 18729-2025 tillsynsbegäran.docx", "A 18729-2025")</f>
        <v/>
      </c>
      <c r="Y38">
        <f>HYPERLINK("https://klasma.github.io/Logging_0583/tillsynsmail/A 18729-2025 tillsynsbegäran mail.docx", "A 18729-2025")</f>
        <v/>
      </c>
    </row>
    <row r="39" ht="15" customHeight="1">
      <c r="A39" t="inlineStr">
        <is>
          <t>A 21991-2023</t>
        </is>
      </c>
      <c r="B39" s="1" t="n">
        <v>45068</v>
      </c>
      <c r="C39" s="1" t="n">
        <v>46203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HYPERLINK("https://klasma.github.io/Logging_0583/artfynd/A 21991-2023 artfynd.xlsx", "A 21991-2023")</f>
        <v/>
      </c>
      <c r="T39">
        <f>HYPERLINK("https://klasma.github.io/Logging_0583/kartor/A 21991-2023 karta.png", "A 21991-2023")</f>
        <v/>
      </c>
      <c r="V39">
        <f>HYPERLINK("https://klasma.github.io/Logging_0583/klagomål/A 21991-2023 FSC-klagomål.docx", "A 21991-2023")</f>
        <v/>
      </c>
      <c r="W39">
        <f>HYPERLINK("https://klasma.github.io/Logging_0583/klagomålsmail/A 21991-2023 FSC-klagomål mail.docx", "A 21991-2023")</f>
        <v/>
      </c>
      <c r="X39">
        <f>HYPERLINK("https://klasma.github.io/Logging_0583/tillsyn/A 21991-2023 tillsynsbegäran.docx", "A 21991-2023")</f>
        <v/>
      </c>
      <c r="Y39">
        <f>HYPERLINK("https://klasma.github.io/Logging_0583/tillsynsmail/A 21991-2023 tillsynsbegäran mail.docx", "A 21991-2023")</f>
        <v/>
      </c>
    </row>
    <row r="40" ht="15" customHeight="1">
      <c r="A40" t="inlineStr">
        <is>
          <t>A 53574-2021</t>
        </is>
      </c>
      <c r="B40" s="1" t="n">
        <v>44468</v>
      </c>
      <c r="C40" s="1" t="n">
        <v>46203</v>
      </c>
      <c r="D40" t="inlineStr">
        <is>
          <t>ÖSTERGÖTLANDS LÄN</t>
        </is>
      </c>
      <c r="E40" t="inlineStr">
        <is>
          <t>MOTALA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1211-2022</t>
        </is>
      </c>
      <c r="B41" s="1" t="n">
        <v>44572</v>
      </c>
      <c r="C41" s="1" t="n">
        <v>46203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66195-2021</t>
        </is>
      </c>
      <c r="B42" s="1" t="n">
        <v>44518</v>
      </c>
      <c r="C42" s="1" t="n">
        <v>46203</v>
      </c>
      <c r="D42" t="inlineStr">
        <is>
          <t>ÖSTERGÖTLANDS LÄN</t>
        </is>
      </c>
      <c r="E42" t="inlineStr">
        <is>
          <t>MOTALA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54087-2022</t>
        </is>
      </c>
      <c r="B43" s="1" t="n">
        <v>44881</v>
      </c>
      <c r="C43" s="1" t="n">
        <v>46203</v>
      </c>
      <c r="D43" t="inlineStr">
        <is>
          <t>ÖSTERGÖTLANDS LÄN</t>
        </is>
      </c>
      <c r="E43" t="inlineStr">
        <is>
          <t>MOTALA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41644-2021</t>
        </is>
      </c>
      <c r="B44" s="1" t="n">
        <v>44425</v>
      </c>
      <c r="C44" s="1" t="n">
        <v>46203</v>
      </c>
      <c r="D44" t="inlineStr">
        <is>
          <t>ÖSTERGÖTLANDS LÄN</t>
        </is>
      </c>
      <c r="E44" t="inlineStr">
        <is>
          <t>MOTALA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3967-2022</t>
        </is>
      </c>
      <c r="B45" s="1" t="n">
        <v>44586</v>
      </c>
      <c r="C45" s="1" t="n">
        <v>46203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57981-2021</t>
        </is>
      </c>
      <c r="B46" s="1" t="n">
        <v>44487</v>
      </c>
      <c r="C46" s="1" t="n">
        <v>46203</v>
      </c>
      <c r="D46" t="inlineStr">
        <is>
          <t>ÖSTERGÖTLANDS LÄN</t>
        </is>
      </c>
      <c r="E46" t="inlineStr">
        <is>
          <t>MOTALA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6993-2022</t>
        </is>
      </c>
      <c r="B47" s="1" t="n">
        <v>44603</v>
      </c>
      <c r="C47" s="1" t="n">
        <v>46203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40776-2022</t>
        </is>
      </c>
      <c r="B48" s="1" t="n">
        <v>44824</v>
      </c>
      <c r="C48" s="1" t="n">
        <v>46203</v>
      </c>
      <c r="D48" t="inlineStr">
        <is>
          <t>ÖSTERGÖTLANDS LÄN</t>
        </is>
      </c>
      <c r="E48" t="inlineStr">
        <is>
          <t>MOTALA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24251-2022</t>
        </is>
      </c>
      <c r="B49" s="1" t="n">
        <v>44725</v>
      </c>
      <c r="C49" s="1" t="n">
        <v>46203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37473-2022</t>
        </is>
      </c>
      <c r="B50" s="1" t="n">
        <v>44809</v>
      </c>
      <c r="C50" s="1" t="n">
        <v>46203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27214-2022</t>
        </is>
      </c>
      <c r="B51" s="1" t="n">
        <v>44741</v>
      </c>
      <c r="C51" s="1" t="n">
        <v>46203</v>
      </c>
      <c r="D51" t="inlineStr">
        <is>
          <t>ÖSTERGÖTLANDS LÄN</t>
        </is>
      </c>
      <c r="E51" t="inlineStr">
        <is>
          <t>MOTALA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51653-2021</t>
        </is>
      </c>
      <c r="B52" s="1" t="n">
        <v>44462</v>
      </c>
      <c r="C52" s="1" t="n">
        <v>46203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11051-2022</t>
        </is>
      </c>
      <c r="B53" s="1" t="n">
        <v>44628</v>
      </c>
      <c r="C53" s="1" t="n">
        <v>46203</v>
      </c>
      <c r="D53" t="inlineStr">
        <is>
          <t>ÖSTERGÖTLANDS LÄN</t>
        </is>
      </c>
      <c r="E53" t="inlineStr">
        <is>
          <t>MOTALA</t>
        </is>
      </c>
      <c r="F53" t="inlineStr">
        <is>
          <t>Allmännings- och besparingsskogar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19229-2022</t>
        </is>
      </c>
      <c r="B54" s="1" t="n">
        <v>44692</v>
      </c>
      <c r="C54" s="1" t="n">
        <v>46203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73526-2021</t>
        </is>
      </c>
      <c r="B55" s="1" t="n">
        <v>44551</v>
      </c>
      <c r="C55" s="1" t="n">
        <v>46203</v>
      </c>
      <c r="D55" t="inlineStr">
        <is>
          <t>ÖSTERGÖTLANDS LÄN</t>
        </is>
      </c>
      <c r="E55" t="inlineStr">
        <is>
          <t>MOTALA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39630-2021</t>
        </is>
      </c>
      <c r="B56" s="1" t="n">
        <v>44413</v>
      </c>
      <c r="C56" s="1" t="n">
        <v>46203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43832-2022</t>
        </is>
      </c>
      <c r="B57" s="1" t="n">
        <v>44837</v>
      </c>
      <c r="C57" s="1" t="n">
        <v>46203</v>
      </c>
      <c r="D57" t="inlineStr">
        <is>
          <t>ÖSTERGÖTLANDS LÄN</t>
        </is>
      </c>
      <c r="E57" t="inlineStr">
        <is>
          <t>MOTALA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39494-2021</t>
        </is>
      </c>
      <c r="B58" s="1" t="n">
        <v>44414</v>
      </c>
      <c r="C58" s="1" t="n">
        <v>46203</v>
      </c>
      <c r="D58" t="inlineStr">
        <is>
          <t>ÖSTERGÖTLANDS LÄN</t>
        </is>
      </c>
      <c r="E58" t="inlineStr">
        <is>
          <t>MOTALA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62548-2021</t>
        </is>
      </c>
      <c r="B59" s="1" t="n">
        <v>44503</v>
      </c>
      <c r="C59" s="1" t="n">
        <v>46203</v>
      </c>
      <c r="D59" t="inlineStr">
        <is>
          <t>ÖSTERGÖTLANDS LÄN</t>
        </is>
      </c>
      <c r="E59" t="inlineStr">
        <is>
          <t>MOTALA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46203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49150-2022</t>
        </is>
      </c>
      <c r="B61" s="1" t="n">
        <v>44860</v>
      </c>
      <c r="C61" s="1" t="n">
        <v>46203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41926-2022</t>
        </is>
      </c>
      <c r="B62" s="1" t="n">
        <v>44830</v>
      </c>
      <c r="C62" s="1" t="n">
        <v>46203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17071-2022</t>
        </is>
      </c>
      <c r="B63" s="1" t="n">
        <v>44677</v>
      </c>
      <c r="C63" s="1" t="n">
        <v>46203</v>
      </c>
      <c r="D63" t="inlineStr">
        <is>
          <t>ÖSTERGÖTLANDS LÄN</t>
        </is>
      </c>
      <c r="E63" t="inlineStr">
        <is>
          <t>MOTALA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40538-2022</t>
        </is>
      </c>
      <c r="B64" s="1" t="n">
        <v>44819</v>
      </c>
      <c r="C64" s="1" t="n">
        <v>46203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</v>
      </c>
      <c r="C65" s="1" t="n">
        <v>46203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23886-2022</t>
        </is>
      </c>
      <c r="B66" s="1" t="n">
        <v>44722</v>
      </c>
      <c r="C66" s="1" t="n">
        <v>46203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48931-2021</t>
        </is>
      </c>
      <c r="B67" s="1" t="n">
        <v>44452</v>
      </c>
      <c r="C67" s="1" t="n">
        <v>46203</v>
      </c>
      <c r="D67" t="inlineStr">
        <is>
          <t>ÖSTERGÖTLANDS LÄN</t>
        </is>
      </c>
      <c r="E67" t="inlineStr">
        <is>
          <t>MOTALA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46203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46203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</v>
      </c>
      <c r="C70" s="1" t="n">
        <v>46203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46203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</v>
      </c>
      <c r="C72" s="1" t="n">
        <v>46203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</v>
      </c>
      <c r="C73" s="1" t="n">
        <v>46203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46203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</v>
      </c>
      <c r="C75" s="1" t="n">
        <v>46203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261-2022</t>
        </is>
      </c>
      <c r="B76" s="1" t="n">
        <v>44565</v>
      </c>
      <c r="C76" s="1" t="n">
        <v>46203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66194-2021</t>
        </is>
      </c>
      <c r="B77" s="1" t="n">
        <v>44518</v>
      </c>
      <c r="C77" s="1" t="n">
        <v>46203</v>
      </c>
      <c r="D77" t="inlineStr">
        <is>
          <t>ÖSTERGÖTLANDS LÄN</t>
        </is>
      </c>
      <c r="E77" t="inlineStr">
        <is>
          <t>MOTALA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46203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46203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41911-2022</t>
        </is>
      </c>
      <c r="B80" s="1" t="n">
        <v>44830</v>
      </c>
      <c r="C80" s="1" t="n">
        <v>46203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46203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46958-2021</t>
        </is>
      </c>
      <c r="B82" s="1" t="n">
        <v>44446</v>
      </c>
      <c r="C82" s="1" t="n">
        <v>46203</v>
      </c>
      <c r="D82" t="inlineStr">
        <is>
          <t>ÖSTERGÖTLANDS LÄN</t>
        </is>
      </c>
      <c r="E82" t="inlineStr">
        <is>
          <t>MOTALA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</v>
      </c>
      <c r="C83" s="1" t="n">
        <v>46203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46203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46203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46203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46203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987-2022</t>
        </is>
      </c>
      <c r="B88" s="1" t="n">
        <v>44571</v>
      </c>
      <c r="C88" s="1" t="n">
        <v>46203</v>
      </c>
      <c r="D88" t="inlineStr">
        <is>
          <t>ÖSTERGÖTLANDS LÄN</t>
        </is>
      </c>
      <c r="E88" t="inlineStr">
        <is>
          <t>MOTALA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46203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46203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46203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</v>
      </c>
      <c r="C92" s="1" t="n">
        <v>46203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</v>
      </c>
      <c r="C93" s="1" t="n">
        <v>46203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46203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46203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46203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</v>
      </c>
      <c r="C97" s="1" t="n">
        <v>46203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</v>
      </c>
      <c r="C98" s="1" t="n">
        <v>46203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</v>
      </c>
      <c r="C99" s="1" t="n">
        <v>46203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68288-2021</t>
        </is>
      </c>
      <c r="B100" s="1" t="n">
        <v>44526</v>
      </c>
      <c r="C100" s="1" t="n">
        <v>46203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46203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68348-2021</t>
        </is>
      </c>
      <c r="B102" s="1" t="n">
        <v>44528</v>
      </c>
      <c r="C102" s="1" t="n">
        <v>46203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46203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49658-2021</t>
        </is>
      </c>
      <c r="B104" s="1" t="n">
        <v>44455</v>
      </c>
      <c r="C104" s="1" t="n">
        <v>46203</v>
      </c>
      <c r="D104" t="inlineStr">
        <is>
          <t>ÖSTERGÖTLANDS LÄN</t>
        </is>
      </c>
      <c r="E104" t="inlineStr">
        <is>
          <t>MOTALA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66199-2021</t>
        </is>
      </c>
      <c r="B105" s="1" t="n">
        <v>44518</v>
      </c>
      <c r="C105" s="1" t="n">
        <v>46203</v>
      </c>
      <c r="D105" t="inlineStr">
        <is>
          <t>ÖSTERGÖTLANDS LÄN</t>
        </is>
      </c>
      <c r="E105" t="inlineStr">
        <is>
          <t>MOTALA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60618-2021</t>
        </is>
      </c>
      <c r="B106" s="1" t="n">
        <v>44496</v>
      </c>
      <c r="C106" s="1" t="n">
        <v>46203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46203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57841-2021</t>
        </is>
      </c>
      <c r="B108" s="1" t="n">
        <v>44484</v>
      </c>
      <c r="C108" s="1" t="n">
        <v>46203</v>
      </c>
      <c r="D108" t="inlineStr">
        <is>
          <t>ÖSTERGÖTLANDS LÄN</t>
        </is>
      </c>
      <c r="E108" t="inlineStr">
        <is>
          <t>MOTALA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46203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46203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50126-2023</t>
        </is>
      </c>
      <c r="B111" s="1" t="n">
        <v>45215</v>
      </c>
      <c r="C111" s="1" t="n">
        <v>46203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5773-2024</t>
        </is>
      </c>
      <c r="B112" s="1" t="n">
        <v>45335</v>
      </c>
      <c r="C112" s="1" t="n">
        <v>46203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12155-2024</t>
        </is>
      </c>
      <c r="B113" s="1" t="n">
        <v>45377</v>
      </c>
      <c r="C113" s="1" t="n">
        <v>46203</v>
      </c>
      <c r="D113" t="inlineStr">
        <is>
          <t>ÖSTERGÖTLANDS LÄN</t>
        </is>
      </c>
      <c r="E113" t="inlineStr">
        <is>
          <t>MOTALA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12258-2024</t>
        </is>
      </c>
      <c r="B114" s="1" t="n">
        <v>45378</v>
      </c>
      <c r="C114" s="1" t="n">
        <v>46203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49627-2021</t>
        </is>
      </c>
      <c r="B115" s="1" t="n">
        <v>44455</v>
      </c>
      <c r="C115" s="1" t="n">
        <v>46203</v>
      </c>
      <c r="D115" t="inlineStr">
        <is>
          <t>ÖSTERGÖTLANDS LÄN</t>
        </is>
      </c>
      <c r="E115" t="inlineStr">
        <is>
          <t>MOTALA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31744-2022</t>
        </is>
      </c>
      <c r="B116" s="1" t="n">
        <v>44776</v>
      </c>
      <c r="C116" s="1" t="n">
        <v>46203</v>
      </c>
      <c r="D116" t="inlineStr">
        <is>
          <t>ÖSTERGÖTLANDS LÄN</t>
        </is>
      </c>
      <c r="E116" t="inlineStr">
        <is>
          <t>MOTALA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22108-2023</t>
        </is>
      </c>
      <c r="B117" s="1" t="n">
        <v>45069</v>
      </c>
      <c r="C117" s="1" t="n">
        <v>46203</v>
      </c>
      <c r="D117" t="inlineStr">
        <is>
          <t>ÖSTERGÖTLANDS LÄN</t>
        </is>
      </c>
      <c r="E117" t="inlineStr">
        <is>
          <t>MOTALA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23580-2024</t>
        </is>
      </c>
      <c r="B118" s="1" t="n">
        <v>45454</v>
      </c>
      <c r="C118" s="1" t="n">
        <v>46203</v>
      </c>
      <c r="D118" t="inlineStr">
        <is>
          <t>ÖSTERGÖTLANDS LÄN</t>
        </is>
      </c>
      <c r="E118" t="inlineStr">
        <is>
          <t>MOTALA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50180-2023</t>
        </is>
      </c>
      <c r="B119" s="1" t="n">
        <v>45215</v>
      </c>
      <c r="C119" s="1" t="n">
        <v>46203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49147-2025</t>
        </is>
      </c>
      <c r="B120" s="1" t="n">
        <v>45938</v>
      </c>
      <c r="C120" s="1" t="n">
        <v>46203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49149-2025</t>
        </is>
      </c>
      <c r="B121" s="1" t="n">
        <v>45938</v>
      </c>
      <c r="C121" s="1" t="n">
        <v>46203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21309-2025</t>
        </is>
      </c>
      <c r="B122" s="1" t="n">
        <v>45781</v>
      </c>
      <c r="C122" s="1" t="n">
        <v>46203</v>
      </c>
      <c r="D122" t="inlineStr">
        <is>
          <t>ÖSTERGÖTLANDS LÄN</t>
        </is>
      </c>
      <c r="E122" t="inlineStr">
        <is>
          <t>MOTALA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8352-2025</t>
        </is>
      </c>
      <c r="B123" s="1" t="n">
        <v>45708</v>
      </c>
      <c r="C123" s="1" t="n">
        <v>46203</v>
      </c>
      <c r="D123" t="inlineStr">
        <is>
          <t>ÖSTERGÖTLANDS LÄN</t>
        </is>
      </c>
      <c r="E123" t="inlineStr">
        <is>
          <t>MOTALA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49456-2025</t>
        </is>
      </c>
      <c r="B124" s="1" t="n">
        <v>45939</v>
      </c>
      <c r="C124" s="1" t="n">
        <v>46203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53781-2024</t>
        </is>
      </c>
      <c r="B125" s="1" t="n">
        <v>45615</v>
      </c>
      <c r="C125" s="1" t="n">
        <v>46203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26606-2024</t>
        </is>
      </c>
      <c r="B126" s="1" t="n">
        <v>45469</v>
      </c>
      <c r="C126" s="1" t="n">
        <v>46203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48058-2024</t>
        </is>
      </c>
      <c r="B127" s="1" t="n">
        <v>45589</v>
      </c>
      <c r="C127" s="1" t="n">
        <v>46203</v>
      </c>
      <c r="D127" t="inlineStr">
        <is>
          <t>ÖSTERGÖTLANDS LÄN</t>
        </is>
      </c>
      <c r="E127" t="inlineStr">
        <is>
          <t>MOTALA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58997-2022</t>
        </is>
      </c>
      <c r="B128" s="1" t="n">
        <v>44903</v>
      </c>
      <c r="C128" s="1" t="n">
        <v>46203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37.7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51728-2024</t>
        </is>
      </c>
      <c r="B129" s="1" t="n">
        <v>45604</v>
      </c>
      <c r="C129" s="1" t="n">
        <v>46203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50786-2025</t>
        </is>
      </c>
      <c r="B130" s="1" t="n">
        <v>45946</v>
      </c>
      <c r="C130" s="1" t="n">
        <v>46203</v>
      </c>
      <c r="D130" t="inlineStr">
        <is>
          <t>ÖSTERGÖTLANDS LÄN</t>
        </is>
      </c>
      <c r="E130" t="inlineStr">
        <is>
          <t>MOTALA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21046-2024</t>
        </is>
      </c>
      <c r="B131" s="1" t="n">
        <v>45439</v>
      </c>
      <c r="C131" s="1" t="n">
        <v>46203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21201-2024</t>
        </is>
      </c>
      <c r="B132" s="1" t="n">
        <v>45440</v>
      </c>
      <c r="C132" s="1" t="n">
        <v>46203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58678-2024</t>
        </is>
      </c>
      <c r="B133" s="1" t="n">
        <v>45632</v>
      </c>
      <c r="C133" s="1" t="n">
        <v>46203</v>
      </c>
      <c r="D133" t="inlineStr">
        <is>
          <t>ÖSTERGÖTLANDS LÄN</t>
        </is>
      </c>
      <c r="E133" t="inlineStr">
        <is>
          <t>MOTALA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41944-2022</t>
        </is>
      </c>
      <c r="B134" s="1" t="n">
        <v>44830</v>
      </c>
      <c r="C134" s="1" t="n">
        <v>46203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50514-2025</t>
        </is>
      </c>
      <c r="B135" s="1" t="n">
        <v>45945</v>
      </c>
      <c r="C135" s="1" t="n">
        <v>46203</v>
      </c>
      <c r="D135" t="inlineStr">
        <is>
          <t>ÖSTERGÖTLANDS LÄN</t>
        </is>
      </c>
      <c r="E135" t="inlineStr">
        <is>
          <t>MOTALA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39229-2025</t>
        </is>
      </c>
      <c r="B136" s="1" t="n">
        <v>45889</v>
      </c>
      <c r="C136" s="1" t="n">
        <v>46203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40106-2025</t>
        </is>
      </c>
      <c r="B137" s="1" t="n">
        <v>45894</v>
      </c>
      <c r="C137" s="1" t="n">
        <v>46203</v>
      </c>
      <c r="D137" t="inlineStr">
        <is>
          <t>ÖSTERGÖTLANDS LÄN</t>
        </is>
      </c>
      <c r="E137" t="inlineStr">
        <is>
          <t>MOTALA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35459-2021</t>
        </is>
      </c>
      <c r="B138" s="1" t="n">
        <v>44385</v>
      </c>
      <c r="C138" s="1" t="n">
        <v>46203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51648-2023</t>
        </is>
      </c>
      <c r="B139" s="1" t="n">
        <v>45222</v>
      </c>
      <c r="C139" s="1" t="n">
        <v>46203</v>
      </c>
      <c r="D139" t="inlineStr">
        <is>
          <t>ÖSTERGÖTLANDS LÄN</t>
        </is>
      </c>
      <c r="E139" t="inlineStr">
        <is>
          <t>MOTALA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40995-2025</t>
        </is>
      </c>
      <c r="B140" s="1" t="n">
        <v>45898</v>
      </c>
      <c r="C140" s="1" t="n">
        <v>46203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46681-2021</t>
        </is>
      </c>
      <c r="B141" s="1" t="n">
        <v>44445</v>
      </c>
      <c r="C141" s="1" t="n">
        <v>46203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1074-2025</t>
        </is>
      </c>
      <c r="B142" s="1" t="n">
        <v>45666</v>
      </c>
      <c r="C142" s="1" t="n">
        <v>46203</v>
      </c>
      <c r="D142" t="inlineStr">
        <is>
          <t>ÖSTERGÖTLANDS LÄN</t>
        </is>
      </c>
      <c r="E142" t="inlineStr">
        <is>
          <t>MOTALA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18924-2024</t>
        </is>
      </c>
      <c r="B143" s="1" t="n">
        <v>45427</v>
      </c>
      <c r="C143" s="1" t="n">
        <v>46203</v>
      </c>
      <c r="D143" t="inlineStr">
        <is>
          <t>ÖSTERGÖTLANDS LÄN</t>
        </is>
      </c>
      <c r="E143" t="inlineStr">
        <is>
          <t>MOTALA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1172-2024</t>
        </is>
      </c>
      <c r="B144" s="1" t="n">
        <v>45302</v>
      </c>
      <c r="C144" s="1" t="n">
        <v>46203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57506-2024</t>
        </is>
      </c>
      <c r="B145" s="1" t="n">
        <v>45629</v>
      </c>
      <c r="C145" s="1" t="n">
        <v>46203</v>
      </c>
      <c r="D145" t="inlineStr">
        <is>
          <t>ÖSTERGÖTLANDS LÄN</t>
        </is>
      </c>
      <c r="E145" t="inlineStr">
        <is>
          <t>MOTALA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23757-2025</t>
        </is>
      </c>
      <c r="B146" s="1" t="n">
        <v>45793</v>
      </c>
      <c r="C146" s="1" t="n">
        <v>46203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60669-2024</t>
        </is>
      </c>
      <c r="B147" s="1" t="n">
        <v>45644</v>
      </c>
      <c r="C147" s="1" t="n">
        <v>46203</v>
      </c>
      <c r="D147" t="inlineStr">
        <is>
          <t>ÖSTERGÖTLANDS LÄN</t>
        </is>
      </c>
      <c r="E147" t="inlineStr">
        <is>
          <t>MOTALA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41009-2025</t>
        </is>
      </c>
      <c r="B148" s="1" t="n">
        <v>45898</v>
      </c>
      <c r="C148" s="1" t="n">
        <v>46203</v>
      </c>
      <c r="D148" t="inlineStr">
        <is>
          <t>ÖSTERGÖTLANDS LÄN</t>
        </is>
      </c>
      <c r="E148" t="inlineStr">
        <is>
          <t>MOTALA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57681-2024</t>
        </is>
      </c>
      <c r="B149" s="1" t="n">
        <v>45630</v>
      </c>
      <c r="C149" s="1" t="n">
        <v>46203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4979-2025</t>
        </is>
      </c>
      <c r="B150" s="1" t="n">
        <v>45689</v>
      </c>
      <c r="C150" s="1" t="n">
        <v>46203</v>
      </c>
      <c r="D150" t="inlineStr">
        <is>
          <t>ÖSTERGÖTLANDS LÄN</t>
        </is>
      </c>
      <c r="E150" t="inlineStr">
        <is>
          <t>MOTALA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38881-2024</t>
        </is>
      </c>
      <c r="B151" s="1" t="n">
        <v>45547</v>
      </c>
      <c r="C151" s="1" t="n">
        <v>46203</v>
      </c>
      <c r="D151" t="inlineStr">
        <is>
          <t>ÖSTERGÖTLANDS LÄN</t>
        </is>
      </c>
      <c r="E151" t="inlineStr">
        <is>
          <t>MOTALA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13381-2024</t>
        </is>
      </c>
      <c r="B152" s="1" t="n">
        <v>45387</v>
      </c>
      <c r="C152" s="1" t="n">
        <v>46203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47510-2022</t>
        </is>
      </c>
      <c r="B153" s="1" t="n">
        <v>44853</v>
      </c>
      <c r="C153" s="1" t="n">
        <v>46203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24468-2025</t>
        </is>
      </c>
      <c r="B154" s="1" t="n">
        <v>45798</v>
      </c>
      <c r="C154" s="1" t="n">
        <v>46203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54264-2025</t>
        </is>
      </c>
      <c r="B155" s="1" t="n">
        <v>45964</v>
      </c>
      <c r="C155" s="1" t="n">
        <v>46203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54171-2025</t>
        </is>
      </c>
      <c r="B156" s="1" t="n">
        <v>45964</v>
      </c>
      <c r="C156" s="1" t="n">
        <v>46203</v>
      </c>
      <c r="D156" t="inlineStr">
        <is>
          <t>ÖSTERGÖTLANDS LÄN</t>
        </is>
      </c>
      <c r="E156" t="inlineStr">
        <is>
          <t>MOTALA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54568-2025</t>
        </is>
      </c>
      <c r="B157" s="1" t="n">
        <v>45965</v>
      </c>
      <c r="C157" s="1" t="n">
        <v>46203</v>
      </c>
      <c r="D157" t="inlineStr">
        <is>
          <t>ÖSTERGÖTLANDS LÄN</t>
        </is>
      </c>
      <c r="E157" t="inlineStr">
        <is>
          <t>MOTALA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25600-2025</t>
        </is>
      </c>
      <c r="B158" s="1" t="n">
        <v>45803</v>
      </c>
      <c r="C158" s="1" t="n">
        <v>46203</v>
      </c>
      <c r="D158" t="inlineStr">
        <is>
          <t>ÖSTERGÖTLANDS LÄN</t>
        </is>
      </c>
      <c r="E158" t="inlineStr">
        <is>
          <t>MOTALA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45790-2025</t>
        </is>
      </c>
      <c r="B159" s="1" t="n">
        <v>45923</v>
      </c>
      <c r="C159" s="1" t="n">
        <v>46203</v>
      </c>
      <c r="D159" t="inlineStr">
        <is>
          <t>ÖSTERGÖTLANDS LÄN</t>
        </is>
      </c>
      <c r="E159" t="inlineStr">
        <is>
          <t>MOTALA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58341-2025</t>
        </is>
      </c>
      <c r="B160" s="1" t="n">
        <v>45982</v>
      </c>
      <c r="C160" s="1" t="n">
        <v>46203</v>
      </c>
      <c r="D160" t="inlineStr">
        <is>
          <t>ÖSTERGÖTLANDS LÄN</t>
        </is>
      </c>
      <c r="E160" t="inlineStr">
        <is>
          <t>MOTALA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47351-2025</t>
        </is>
      </c>
      <c r="B161" s="1" t="n">
        <v>45930</v>
      </c>
      <c r="C161" s="1" t="n">
        <v>46203</v>
      </c>
      <c r="D161" t="inlineStr">
        <is>
          <t>ÖSTERGÖTLANDS LÄN</t>
        </is>
      </c>
      <c r="E161" t="inlineStr">
        <is>
          <t>MOTALA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47359-2025</t>
        </is>
      </c>
      <c r="B162" s="1" t="n">
        <v>45930</v>
      </c>
      <c r="C162" s="1" t="n">
        <v>46203</v>
      </c>
      <c r="D162" t="inlineStr">
        <is>
          <t>ÖSTERGÖTLANDS LÄN</t>
        </is>
      </c>
      <c r="E162" t="inlineStr">
        <is>
          <t>MOTALA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47326-2025</t>
        </is>
      </c>
      <c r="B163" s="1" t="n">
        <v>45930</v>
      </c>
      <c r="C163" s="1" t="n">
        <v>46203</v>
      </c>
      <c r="D163" t="inlineStr">
        <is>
          <t>ÖSTERGÖTLANDS LÄN</t>
        </is>
      </c>
      <c r="E163" t="inlineStr">
        <is>
          <t>MOTALA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47362-2025</t>
        </is>
      </c>
      <c r="B164" s="1" t="n">
        <v>45930</v>
      </c>
      <c r="C164" s="1" t="n">
        <v>46203</v>
      </c>
      <c r="D164" t="inlineStr">
        <is>
          <t>ÖSTERGÖTLANDS LÄN</t>
        </is>
      </c>
      <c r="E164" t="inlineStr">
        <is>
          <t>MOTALA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47369-2025</t>
        </is>
      </c>
      <c r="B165" s="1" t="n">
        <v>45930</v>
      </c>
      <c r="C165" s="1" t="n">
        <v>46203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58385-2025</t>
        </is>
      </c>
      <c r="B166" s="1" t="n">
        <v>45985</v>
      </c>
      <c r="C166" s="1" t="n">
        <v>46203</v>
      </c>
      <c r="D166" t="inlineStr">
        <is>
          <t>ÖSTERGÖTLANDS LÄN</t>
        </is>
      </c>
      <c r="E166" t="inlineStr">
        <is>
          <t>MOTALA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47381-2025</t>
        </is>
      </c>
      <c r="B167" s="1" t="n">
        <v>45930</v>
      </c>
      <c r="C167" s="1" t="n">
        <v>46203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47278-2025</t>
        </is>
      </c>
      <c r="B168" s="1" t="n">
        <v>45930</v>
      </c>
      <c r="C168" s="1" t="n">
        <v>46203</v>
      </c>
      <c r="D168" t="inlineStr">
        <is>
          <t>ÖSTERGÖTLANDS LÄN</t>
        </is>
      </c>
      <c r="E168" t="inlineStr">
        <is>
          <t>MOTALA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47282-2025</t>
        </is>
      </c>
      <c r="B169" s="1" t="n">
        <v>45930</v>
      </c>
      <c r="C169" s="1" t="n">
        <v>46203</v>
      </c>
      <c r="D169" t="inlineStr">
        <is>
          <t>ÖSTERGÖTLANDS LÄN</t>
        </is>
      </c>
      <c r="E169" t="inlineStr">
        <is>
          <t>MOTALA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58331-2022</t>
        </is>
      </c>
      <c r="B170" s="1" t="n">
        <v>44901</v>
      </c>
      <c r="C170" s="1" t="n">
        <v>46203</v>
      </c>
      <c r="D170" t="inlineStr">
        <is>
          <t>ÖSTERGÖTLANDS LÄN</t>
        </is>
      </c>
      <c r="E170" t="inlineStr">
        <is>
          <t>MOTALA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30606-2023</t>
        </is>
      </c>
      <c r="B171" s="1" t="n">
        <v>45112</v>
      </c>
      <c r="C171" s="1" t="n">
        <v>46203</v>
      </c>
      <c r="D171" t="inlineStr">
        <is>
          <t>ÖSTERGÖTLANDS LÄN</t>
        </is>
      </c>
      <c r="E171" t="inlineStr">
        <is>
          <t>MOTALA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34761-2024</t>
        </is>
      </c>
      <c r="B172" s="1" t="n">
        <v>45526</v>
      </c>
      <c r="C172" s="1" t="n">
        <v>46203</v>
      </c>
      <c r="D172" t="inlineStr">
        <is>
          <t>ÖSTERGÖTLANDS LÄN</t>
        </is>
      </c>
      <c r="E172" t="inlineStr">
        <is>
          <t>MOTALA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30640-2025</t>
        </is>
      </c>
      <c r="B173" s="1" t="n">
        <v>45831</v>
      </c>
      <c r="C173" s="1" t="n">
        <v>46203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26785-2024</t>
        </is>
      </c>
      <c r="B174" s="1" t="n">
        <v>45470</v>
      </c>
      <c r="C174" s="1" t="n">
        <v>46203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64161-2023</t>
        </is>
      </c>
      <c r="B175" s="1" t="n">
        <v>45279</v>
      </c>
      <c r="C175" s="1" t="n">
        <v>46203</v>
      </c>
      <c r="D175" t="inlineStr">
        <is>
          <t>ÖSTERGÖTLANDS LÄN</t>
        </is>
      </c>
      <c r="E175" t="inlineStr">
        <is>
          <t>MOTALA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64175-2023</t>
        </is>
      </c>
      <c r="B176" s="1" t="n">
        <v>45279</v>
      </c>
      <c r="C176" s="1" t="n">
        <v>46203</v>
      </c>
      <c r="D176" t="inlineStr">
        <is>
          <t>ÖSTERGÖTLANDS LÄN</t>
        </is>
      </c>
      <c r="E176" t="inlineStr">
        <is>
          <t>MOTALA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56867-2022</t>
        </is>
      </c>
      <c r="B177" s="1" t="n">
        <v>44894</v>
      </c>
      <c r="C177" s="1" t="n">
        <v>46203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27220-2023</t>
        </is>
      </c>
      <c r="B178" s="1" t="n">
        <v>45092</v>
      </c>
      <c r="C178" s="1" t="n">
        <v>46203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32756-2025</t>
        </is>
      </c>
      <c r="B179" s="1" t="n">
        <v>45839</v>
      </c>
      <c r="C179" s="1" t="n">
        <v>46203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60742-2025</t>
        </is>
      </c>
      <c r="B180" s="1" t="n">
        <v>45998</v>
      </c>
      <c r="C180" s="1" t="n">
        <v>46203</v>
      </c>
      <c r="D180" t="inlineStr">
        <is>
          <t>ÖSTERGÖTLANDS LÄN</t>
        </is>
      </c>
      <c r="E180" t="inlineStr">
        <is>
          <t>MOTALA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64186-2023</t>
        </is>
      </c>
      <c r="B181" s="1" t="n">
        <v>45279</v>
      </c>
      <c r="C181" s="1" t="n">
        <v>46203</v>
      </c>
      <c r="D181" t="inlineStr">
        <is>
          <t>ÖSTERGÖTLANDS LÄN</t>
        </is>
      </c>
      <c r="E181" t="inlineStr">
        <is>
          <t>MOTALA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2197-2023</t>
        </is>
      </c>
      <c r="B182" s="1" t="n">
        <v>44942</v>
      </c>
      <c r="C182" s="1" t="n">
        <v>46203</v>
      </c>
      <c r="D182" t="inlineStr">
        <is>
          <t>ÖSTERGÖTLANDS LÄN</t>
        </is>
      </c>
      <c r="E182" t="inlineStr">
        <is>
          <t>MOTALA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61938-2025</t>
        </is>
      </c>
      <c r="B183" s="1" t="n">
        <v>46003</v>
      </c>
      <c r="C183" s="1" t="n">
        <v>46203</v>
      </c>
      <c r="D183" t="inlineStr">
        <is>
          <t>ÖSTERGÖTLANDS LÄN</t>
        </is>
      </c>
      <c r="E183" t="inlineStr">
        <is>
          <t>MOTALA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61952-2025</t>
        </is>
      </c>
      <c r="B184" s="1" t="n">
        <v>46003</v>
      </c>
      <c r="C184" s="1" t="n">
        <v>46203</v>
      </c>
      <c r="D184" t="inlineStr">
        <is>
          <t>ÖSTERGÖTLANDS LÄN</t>
        </is>
      </c>
      <c r="E184" t="inlineStr">
        <is>
          <t>MOTALA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62075-2023</t>
        </is>
      </c>
      <c r="B185" s="1" t="n">
        <v>45266</v>
      </c>
      <c r="C185" s="1" t="n">
        <v>46203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62077-2023</t>
        </is>
      </c>
      <c r="B186" s="1" t="n">
        <v>45266</v>
      </c>
      <c r="C186" s="1" t="n">
        <v>46203</v>
      </c>
      <c r="D186" t="inlineStr">
        <is>
          <t>ÖSTERGÖTLANDS LÄN</t>
        </is>
      </c>
      <c r="E186" t="inlineStr">
        <is>
          <t>MOTALA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62079-2023</t>
        </is>
      </c>
      <c r="B187" s="1" t="n">
        <v>45266</v>
      </c>
      <c r="C187" s="1" t="n">
        <v>46203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27896-2025</t>
        </is>
      </c>
      <c r="B188" s="1" t="n">
        <v>45817</v>
      </c>
      <c r="C188" s="1" t="n">
        <v>46203</v>
      </c>
      <c r="D188" t="inlineStr">
        <is>
          <t>ÖSTERGÖTLANDS LÄN</t>
        </is>
      </c>
      <c r="E188" t="inlineStr">
        <is>
          <t>MOTALA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3030-2024</t>
        </is>
      </c>
      <c r="B189" s="1" t="n">
        <v>45316</v>
      </c>
      <c r="C189" s="1" t="n">
        <v>46203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44861-2024</t>
        </is>
      </c>
      <c r="B190" s="1" t="n">
        <v>45575</v>
      </c>
      <c r="C190" s="1" t="n">
        <v>46203</v>
      </c>
      <c r="D190" t="inlineStr">
        <is>
          <t>ÖSTERGÖTLANDS LÄN</t>
        </is>
      </c>
      <c r="E190" t="inlineStr">
        <is>
          <t>MOTALA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11463-2025</t>
        </is>
      </c>
      <c r="B191" s="1" t="n">
        <v>45726</v>
      </c>
      <c r="C191" s="1" t="n">
        <v>46203</v>
      </c>
      <c r="D191" t="inlineStr">
        <is>
          <t>ÖSTERGÖTLANDS LÄN</t>
        </is>
      </c>
      <c r="E191" t="inlineStr">
        <is>
          <t>MOTALA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26350-2025</t>
        </is>
      </c>
      <c r="B192" s="1" t="n">
        <v>45805</v>
      </c>
      <c r="C192" s="1" t="n">
        <v>46203</v>
      </c>
      <c r="D192" t="inlineStr">
        <is>
          <t>ÖSTERGÖTLANDS LÄN</t>
        </is>
      </c>
      <c r="E192" t="inlineStr">
        <is>
          <t>MOTALA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29703-2024</t>
        </is>
      </c>
      <c r="B193" s="1" t="n">
        <v>45485</v>
      </c>
      <c r="C193" s="1" t="n">
        <v>46203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24507-2025</t>
        </is>
      </c>
      <c r="B194" s="1" t="n">
        <v>45798</v>
      </c>
      <c r="C194" s="1" t="n">
        <v>46203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15543-2025</t>
        </is>
      </c>
      <c r="B195" s="1" t="n">
        <v>45747</v>
      </c>
      <c r="C195" s="1" t="n">
        <v>46203</v>
      </c>
      <c r="D195" t="inlineStr">
        <is>
          <t>ÖSTERGÖTLANDS LÄN</t>
        </is>
      </c>
      <c r="E195" t="inlineStr">
        <is>
          <t>MOTALA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1485-2026</t>
        </is>
      </c>
      <c r="B196" s="1" t="n">
        <v>46034</v>
      </c>
      <c r="C196" s="1" t="n">
        <v>46203</v>
      </c>
      <c r="D196" t="inlineStr">
        <is>
          <t>ÖSTERGÖTLANDS LÄN</t>
        </is>
      </c>
      <c r="E196" t="inlineStr">
        <is>
          <t>MOTALA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44868-2024</t>
        </is>
      </c>
      <c r="B197" s="1" t="n">
        <v>45575</v>
      </c>
      <c r="C197" s="1" t="n">
        <v>46203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45237-2024</t>
        </is>
      </c>
      <c r="B198" s="1" t="n">
        <v>45575</v>
      </c>
      <c r="C198" s="1" t="n">
        <v>46203</v>
      </c>
      <c r="D198" t="inlineStr">
        <is>
          <t>ÖSTERGÖTLANDS LÄN</t>
        </is>
      </c>
      <c r="E198" t="inlineStr">
        <is>
          <t>MOTALA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4255-2023</t>
        </is>
      </c>
      <c r="B199" s="1" t="n">
        <v>44953</v>
      </c>
      <c r="C199" s="1" t="n">
        <v>46203</v>
      </c>
      <c r="D199" t="inlineStr">
        <is>
          <t>ÖSTERGÖTLANDS LÄN</t>
        </is>
      </c>
      <c r="E199" t="inlineStr">
        <is>
          <t>MOTALA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71205-2021</t>
        </is>
      </c>
      <c r="B200" s="1" t="n">
        <v>44539</v>
      </c>
      <c r="C200" s="1" t="n">
        <v>46203</v>
      </c>
      <c r="D200" t="inlineStr">
        <is>
          <t>ÖSTERGÖTLANDS LÄN</t>
        </is>
      </c>
      <c r="E200" t="inlineStr">
        <is>
          <t>MOTALA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61434-2025</t>
        </is>
      </c>
      <c r="B201" s="1" t="n">
        <v>46001</v>
      </c>
      <c r="C201" s="1" t="n">
        <v>46203</v>
      </c>
      <c r="D201" t="inlineStr">
        <is>
          <t>ÖSTERGÖTLANDS LÄN</t>
        </is>
      </c>
      <c r="E201" t="inlineStr">
        <is>
          <t>MOTALA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47308-2023</t>
        </is>
      </c>
      <c r="B202" s="1" t="n">
        <v>45202</v>
      </c>
      <c r="C202" s="1" t="n">
        <v>46203</v>
      </c>
      <c r="D202" t="inlineStr">
        <is>
          <t>ÖSTERGÖTLANDS LÄN</t>
        </is>
      </c>
      <c r="E202" t="inlineStr">
        <is>
          <t>MOTALA</t>
        </is>
      </c>
      <c r="G202" t="n">
        <v>17.6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12916-2023</t>
        </is>
      </c>
      <c r="B203" s="1" t="n">
        <v>45001</v>
      </c>
      <c r="C203" s="1" t="n">
        <v>46203</v>
      </c>
      <c r="D203" t="inlineStr">
        <is>
          <t>ÖSTERGÖTLANDS LÄN</t>
        </is>
      </c>
      <c r="E203" t="inlineStr">
        <is>
          <t>MOTALA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6277-2026</t>
        </is>
      </c>
      <c r="B204" s="1" t="n">
        <v>46055</v>
      </c>
      <c r="C204" s="1" t="n">
        <v>46203</v>
      </c>
      <c r="D204" t="inlineStr">
        <is>
          <t>ÖSTERGÖTLANDS LÄN</t>
        </is>
      </c>
      <c r="E204" t="inlineStr">
        <is>
          <t>MOTALA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7358-2026</t>
        </is>
      </c>
      <c r="B205" s="1" t="n">
        <v>46058</v>
      </c>
      <c r="C205" s="1" t="n">
        <v>46203</v>
      </c>
      <c r="D205" t="inlineStr">
        <is>
          <t>ÖSTERGÖTLANDS LÄN</t>
        </is>
      </c>
      <c r="E205" t="inlineStr">
        <is>
          <t>MOTALA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7586-2026</t>
        </is>
      </c>
      <c r="B206" s="1" t="n">
        <v>46061</v>
      </c>
      <c r="C206" s="1" t="n">
        <v>46203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7612-2026</t>
        </is>
      </c>
      <c r="B207" s="1" t="n">
        <v>46062</v>
      </c>
      <c r="C207" s="1" t="n">
        <v>46203</v>
      </c>
      <c r="D207" t="inlineStr">
        <is>
          <t>ÖSTERGÖTLANDS LÄN</t>
        </is>
      </c>
      <c r="E207" t="inlineStr">
        <is>
          <t>MOTALA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8138-2026</t>
        </is>
      </c>
      <c r="B208" s="1" t="n">
        <v>46064</v>
      </c>
      <c r="C208" s="1" t="n">
        <v>46203</v>
      </c>
      <c r="D208" t="inlineStr">
        <is>
          <t>ÖSTERGÖTLANDS LÄN</t>
        </is>
      </c>
      <c r="E208" t="inlineStr">
        <is>
          <t>MOTALA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8153-2026</t>
        </is>
      </c>
      <c r="B209" s="1" t="n">
        <v>46064</v>
      </c>
      <c r="C209" s="1" t="n">
        <v>46203</v>
      </c>
      <c r="D209" t="inlineStr">
        <is>
          <t>ÖSTERGÖTLANDS LÄN</t>
        </is>
      </c>
      <c r="E209" t="inlineStr">
        <is>
          <t>MOTALA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8779-2026</t>
        </is>
      </c>
      <c r="B210" s="1" t="n">
        <v>46066</v>
      </c>
      <c r="C210" s="1" t="n">
        <v>46203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8776-2026</t>
        </is>
      </c>
      <c r="B211" s="1" t="n">
        <v>46066</v>
      </c>
      <c r="C211" s="1" t="n">
        <v>46203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8784-2026</t>
        </is>
      </c>
      <c r="B212" s="1" t="n">
        <v>46066</v>
      </c>
      <c r="C212" s="1" t="n">
        <v>46203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8787-2026</t>
        </is>
      </c>
      <c r="B213" s="1" t="n">
        <v>46066</v>
      </c>
      <c r="C213" s="1" t="n">
        <v>46203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8788-2026</t>
        </is>
      </c>
      <c r="B214" s="1" t="n">
        <v>46066</v>
      </c>
      <c r="C214" s="1" t="n">
        <v>46203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8781-2026</t>
        </is>
      </c>
      <c r="B215" s="1" t="n">
        <v>46066</v>
      </c>
      <c r="C215" s="1" t="n">
        <v>46203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8794-2026</t>
        </is>
      </c>
      <c r="B216" s="1" t="n">
        <v>46066</v>
      </c>
      <c r="C216" s="1" t="n">
        <v>46203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8620-2026</t>
        </is>
      </c>
      <c r="B217" s="1" t="n">
        <v>46066</v>
      </c>
      <c r="C217" s="1" t="n">
        <v>46203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8774-2026</t>
        </is>
      </c>
      <c r="B218" s="1" t="n">
        <v>46066</v>
      </c>
      <c r="C218" s="1" t="n">
        <v>46203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8791-2026</t>
        </is>
      </c>
      <c r="B219" s="1" t="n">
        <v>46066</v>
      </c>
      <c r="C219" s="1" t="n">
        <v>46203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8783-2026</t>
        </is>
      </c>
      <c r="B220" s="1" t="n">
        <v>46066</v>
      </c>
      <c r="C220" s="1" t="n">
        <v>46203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8785-2026</t>
        </is>
      </c>
      <c r="B221" s="1" t="n">
        <v>46066</v>
      </c>
      <c r="C221" s="1" t="n">
        <v>46203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9000-2026</t>
        </is>
      </c>
      <c r="B222" s="1" t="n">
        <v>46069</v>
      </c>
      <c r="C222" s="1" t="n">
        <v>46203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1301-2023</t>
        </is>
      </c>
      <c r="B223" s="1" t="n">
        <v>44931</v>
      </c>
      <c r="C223" s="1" t="n">
        <v>46203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Övriga statliga verk och myndigheter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21204-2024</t>
        </is>
      </c>
      <c r="B224" s="1" t="n">
        <v>45440</v>
      </c>
      <c r="C224" s="1" t="n">
        <v>46203</v>
      </c>
      <c r="D224" t="inlineStr">
        <is>
          <t>ÖSTERGÖTLANDS LÄN</t>
        </is>
      </c>
      <c r="E224" t="inlineStr">
        <is>
          <t>MOTALA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9002-2026</t>
        </is>
      </c>
      <c r="B225" s="1" t="n">
        <v>46069</v>
      </c>
      <c r="C225" s="1" t="n">
        <v>46203</v>
      </c>
      <c r="D225" t="inlineStr">
        <is>
          <t>ÖSTERGÖTLANDS LÄN</t>
        </is>
      </c>
      <c r="E225" t="inlineStr">
        <is>
          <t>MOTALA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7051-2024</t>
        </is>
      </c>
      <c r="B226" s="1" t="n">
        <v>45343</v>
      </c>
      <c r="C226" s="1" t="n">
        <v>46203</v>
      </c>
      <c r="D226" t="inlineStr">
        <is>
          <t>ÖSTERGÖTLANDS LÄN</t>
        </is>
      </c>
      <c r="E226" t="inlineStr">
        <is>
          <t>MOTALA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59570-2022</t>
        </is>
      </c>
      <c r="B227" s="1" t="n">
        <v>44907</v>
      </c>
      <c r="C227" s="1" t="n">
        <v>46203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53322-2023</t>
        </is>
      </c>
      <c r="B228" s="1" t="n">
        <v>45229</v>
      </c>
      <c r="C228" s="1" t="n">
        <v>46203</v>
      </c>
      <c r="D228" t="inlineStr">
        <is>
          <t>ÖSTERGÖTLANDS LÄN</t>
        </is>
      </c>
      <c r="E228" t="inlineStr">
        <is>
          <t>MOTALA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47875-2021</t>
        </is>
      </c>
      <c r="B229" s="1" t="n">
        <v>44448</v>
      </c>
      <c r="C229" s="1" t="n">
        <v>46203</v>
      </c>
      <c r="D229" t="inlineStr">
        <is>
          <t>ÖSTERGÖTLANDS LÄN</t>
        </is>
      </c>
      <c r="E229" t="inlineStr">
        <is>
          <t>MOTALA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10510-2026</t>
        </is>
      </c>
      <c r="B230" s="1" t="n">
        <v>46077</v>
      </c>
      <c r="C230" s="1" t="n">
        <v>46203</v>
      </c>
      <c r="D230" t="inlineStr">
        <is>
          <t>ÖSTERGÖTLANDS LÄN</t>
        </is>
      </c>
      <c r="E230" t="inlineStr">
        <is>
          <t>MOTALA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9960-2026</t>
        </is>
      </c>
      <c r="B231" s="1" t="n">
        <v>46073</v>
      </c>
      <c r="C231" s="1" t="n">
        <v>46203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3711-2023</t>
        </is>
      </c>
      <c r="B232" s="1" t="n">
        <v>44951</v>
      </c>
      <c r="C232" s="1" t="n">
        <v>46203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43695-2021</t>
        </is>
      </c>
      <c r="B233" s="1" t="n">
        <v>44433</v>
      </c>
      <c r="C233" s="1" t="n">
        <v>46203</v>
      </c>
      <c r="D233" t="inlineStr">
        <is>
          <t>ÖSTERGÖTLANDS LÄN</t>
        </is>
      </c>
      <c r="E233" t="inlineStr">
        <is>
          <t>MOTALA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11317-2026</t>
        </is>
      </c>
      <c r="B234" s="1" t="n">
        <v>46080</v>
      </c>
      <c r="C234" s="1" t="n">
        <v>46203</v>
      </c>
      <c r="D234" t="inlineStr">
        <is>
          <t>ÖSTERGÖTLANDS LÄN</t>
        </is>
      </c>
      <c r="E234" t="inlineStr">
        <is>
          <t>MOTALA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11315-2026</t>
        </is>
      </c>
      <c r="B235" s="1" t="n">
        <v>46080</v>
      </c>
      <c r="C235" s="1" t="n">
        <v>46203</v>
      </c>
      <c r="D235" t="inlineStr">
        <is>
          <t>ÖSTERGÖTLANDS LÄN</t>
        </is>
      </c>
      <c r="E235" t="inlineStr">
        <is>
          <t>MOTALA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11318-2026</t>
        </is>
      </c>
      <c r="B236" s="1" t="n">
        <v>46080</v>
      </c>
      <c r="C236" s="1" t="n">
        <v>46203</v>
      </c>
      <c r="D236" t="inlineStr">
        <is>
          <t>ÖSTERGÖTLANDS LÄN</t>
        </is>
      </c>
      <c r="E236" t="inlineStr">
        <is>
          <t>MOTALA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11320-2026</t>
        </is>
      </c>
      <c r="B237" s="1" t="n">
        <v>46080</v>
      </c>
      <c r="C237" s="1" t="n">
        <v>46203</v>
      </c>
      <c r="D237" t="inlineStr">
        <is>
          <t>ÖSTERGÖTLANDS LÄN</t>
        </is>
      </c>
      <c r="E237" t="inlineStr">
        <is>
          <t>MOTALA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60610-2022</t>
        </is>
      </c>
      <c r="B238" s="1" t="n">
        <v>44911</v>
      </c>
      <c r="C238" s="1" t="n">
        <v>46203</v>
      </c>
      <c r="D238" t="inlineStr">
        <is>
          <t>ÖSTERGÖTLANDS LÄN</t>
        </is>
      </c>
      <c r="E238" t="inlineStr">
        <is>
          <t>MOTALA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11319-2026</t>
        </is>
      </c>
      <c r="B239" s="1" t="n">
        <v>46080</v>
      </c>
      <c r="C239" s="1" t="n">
        <v>46203</v>
      </c>
      <c r="D239" t="inlineStr">
        <is>
          <t>ÖSTERGÖTLANDS LÄN</t>
        </is>
      </c>
      <c r="E239" t="inlineStr">
        <is>
          <t>MOTALA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17543-2022</t>
        </is>
      </c>
      <c r="B240" s="1" t="n">
        <v>44679</v>
      </c>
      <c r="C240" s="1" t="n">
        <v>46203</v>
      </c>
      <c r="D240" t="inlineStr">
        <is>
          <t>ÖSTERGÖTLANDS LÄN</t>
        </is>
      </c>
      <c r="E240" t="inlineStr">
        <is>
          <t>MOTALA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12639-2026</t>
        </is>
      </c>
      <c r="B241" s="1" t="n">
        <v>46091</v>
      </c>
      <c r="C241" s="1" t="n">
        <v>46203</v>
      </c>
      <c r="D241" t="inlineStr">
        <is>
          <t>ÖSTERGÖTLANDS LÄN</t>
        </is>
      </c>
      <c r="E241" t="inlineStr">
        <is>
          <t>MOTALA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12642-2026</t>
        </is>
      </c>
      <c r="B242" s="1" t="n">
        <v>46091</v>
      </c>
      <c r="C242" s="1" t="n">
        <v>46203</v>
      </c>
      <c r="D242" t="inlineStr">
        <is>
          <t>ÖSTERGÖTLANDS LÄN</t>
        </is>
      </c>
      <c r="E242" t="inlineStr">
        <is>
          <t>MOTALA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12627-2026</t>
        </is>
      </c>
      <c r="B243" s="1" t="n">
        <v>46091</v>
      </c>
      <c r="C243" s="1" t="n">
        <v>46203</v>
      </c>
      <c r="D243" t="inlineStr">
        <is>
          <t>ÖSTERGÖTLANDS LÄN</t>
        </is>
      </c>
      <c r="E243" t="inlineStr">
        <is>
          <t>MOTALA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12968-2026</t>
        </is>
      </c>
      <c r="B244" s="1" t="n">
        <v>46092</v>
      </c>
      <c r="C244" s="1" t="n">
        <v>46203</v>
      </c>
      <c r="D244" t="inlineStr">
        <is>
          <t>ÖSTERGÖTLANDS LÄN</t>
        </is>
      </c>
      <c r="E244" t="inlineStr">
        <is>
          <t>MOTALA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12989-2026</t>
        </is>
      </c>
      <c r="B245" s="1" t="n">
        <v>46092</v>
      </c>
      <c r="C245" s="1" t="n">
        <v>46203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12982-2026</t>
        </is>
      </c>
      <c r="B246" s="1" t="n">
        <v>46092</v>
      </c>
      <c r="C246" s="1" t="n">
        <v>46203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13298-2026</t>
        </is>
      </c>
      <c r="B247" s="1" t="n">
        <v>46094</v>
      </c>
      <c r="C247" s="1" t="n">
        <v>46203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13300-2026</t>
        </is>
      </c>
      <c r="B248" s="1" t="n">
        <v>46094</v>
      </c>
      <c r="C248" s="1" t="n">
        <v>46203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13304-2026</t>
        </is>
      </c>
      <c r="B249" s="1" t="n">
        <v>46094</v>
      </c>
      <c r="C249" s="1" t="n">
        <v>46203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51762-2024</t>
        </is>
      </c>
      <c r="B250" s="1" t="n">
        <v>45607</v>
      </c>
      <c r="C250" s="1" t="n">
        <v>46203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13303-2026</t>
        </is>
      </c>
      <c r="B251" s="1" t="n">
        <v>46094</v>
      </c>
      <c r="C251" s="1" t="n">
        <v>46203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42298-2023</t>
        </is>
      </c>
      <c r="B252" s="1" t="n">
        <v>45180</v>
      </c>
      <c r="C252" s="1" t="n">
        <v>46203</v>
      </c>
      <c r="D252" t="inlineStr">
        <is>
          <t>ÖSTERGÖTLANDS LÄN</t>
        </is>
      </c>
      <c r="E252" t="inlineStr">
        <is>
          <t>MOTALA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14568-2026</t>
        </is>
      </c>
      <c r="B253" s="1" t="n">
        <v>46100</v>
      </c>
      <c r="C253" s="1" t="n">
        <v>46203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15057-2026</t>
        </is>
      </c>
      <c r="B254" s="1" t="n">
        <v>46104</v>
      </c>
      <c r="C254" s="1" t="n">
        <v>46203</v>
      </c>
      <c r="D254" t="inlineStr">
        <is>
          <t>ÖSTERGÖTLANDS LÄN</t>
        </is>
      </c>
      <c r="E254" t="inlineStr">
        <is>
          <t>MOTALA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15076-2026</t>
        </is>
      </c>
      <c r="B255" s="1" t="n">
        <v>46105</v>
      </c>
      <c r="C255" s="1" t="n">
        <v>46203</v>
      </c>
      <c r="D255" t="inlineStr">
        <is>
          <t>ÖSTERGÖTLANDS LÄN</t>
        </is>
      </c>
      <c r="E255" t="inlineStr">
        <is>
          <t>MOTALA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14921-2026</t>
        </is>
      </c>
      <c r="B256" s="1" t="n">
        <v>46104</v>
      </c>
      <c r="C256" s="1" t="n">
        <v>46203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14924-2026</t>
        </is>
      </c>
      <c r="B257" s="1" t="n">
        <v>46104</v>
      </c>
      <c r="C257" s="1" t="n">
        <v>46203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15077-2026</t>
        </is>
      </c>
      <c r="B258" s="1" t="n">
        <v>46105</v>
      </c>
      <c r="C258" s="1" t="n">
        <v>46203</v>
      </c>
      <c r="D258" t="inlineStr">
        <is>
          <t>ÖSTERGÖTLANDS LÄN</t>
        </is>
      </c>
      <c r="E258" t="inlineStr">
        <is>
          <t>MOTALA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15331-2026</t>
        </is>
      </c>
      <c r="B259" s="1" t="n">
        <v>46105</v>
      </c>
      <c r="C259" s="1" t="n">
        <v>46203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15056-2026</t>
        </is>
      </c>
      <c r="B260" s="1" t="n">
        <v>46104</v>
      </c>
      <c r="C260" s="1" t="n">
        <v>46203</v>
      </c>
      <c r="D260" t="inlineStr">
        <is>
          <t>ÖSTERGÖTLANDS LÄN</t>
        </is>
      </c>
      <c r="E260" t="inlineStr">
        <is>
          <t>MOTALA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14920-2026</t>
        </is>
      </c>
      <c r="B261" s="1" t="n">
        <v>46104</v>
      </c>
      <c r="C261" s="1" t="n">
        <v>46203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14922-2026</t>
        </is>
      </c>
      <c r="B262" s="1" t="n">
        <v>46104</v>
      </c>
      <c r="C262" s="1" t="n">
        <v>46203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15551-2026</t>
        </is>
      </c>
      <c r="B263" s="1" t="n">
        <v>46106</v>
      </c>
      <c r="C263" s="1" t="n">
        <v>46203</v>
      </c>
      <c r="D263" t="inlineStr">
        <is>
          <t>ÖSTERGÖTLANDS LÄN</t>
        </is>
      </c>
      <c r="E263" t="inlineStr">
        <is>
          <t>MOTALA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2196-2023</t>
        </is>
      </c>
      <c r="B264" s="1" t="n">
        <v>44942</v>
      </c>
      <c r="C264" s="1" t="n">
        <v>46203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3993-2023</t>
        </is>
      </c>
      <c r="B265" s="1" t="n">
        <v>44952</v>
      </c>
      <c r="C265" s="1" t="n">
        <v>46203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60682-2024</t>
        </is>
      </c>
      <c r="B266" s="1" t="n">
        <v>45644</v>
      </c>
      <c r="C266" s="1" t="n">
        <v>46203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62556-2021</t>
        </is>
      </c>
      <c r="B267" s="1" t="n">
        <v>44503</v>
      </c>
      <c r="C267" s="1" t="n">
        <v>46203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53820-2024</t>
        </is>
      </c>
      <c r="B268" s="1" t="n">
        <v>45615</v>
      </c>
      <c r="C268" s="1" t="n">
        <v>46203</v>
      </c>
      <c r="D268" t="inlineStr">
        <is>
          <t>ÖSTERGÖTLANDS LÄN</t>
        </is>
      </c>
      <c r="E268" t="inlineStr">
        <is>
          <t>MOTALA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12434-2023</t>
        </is>
      </c>
      <c r="B269" s="1" t="n">
        <v>44999</v>
      </c>
      <c r="C269" s="1" t="n">
        <v>46203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23430-2026</t>
        </is>
      </c>
      <c r="B270" s="1" t="n">
        <v>46163</v>
      </c>
      <c r="C270" s="1" t="n">
        <v>46203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1696-2025</t>
        </is>
      </c>
      <c r="B271" s="1" t="n">
        <v>45670</v>
      </c>
      <c r="C271" s="1" t="n">
        <v>46203</v>
      </c>
      <c r="D271" t="inlineStr">
        <is>
          <t>ÖSTERGÖTLANDS LÄN</t>
        </is>
      </c>
      <c r="E271" t="inlineStr">
        <is>
          <t>MOTALA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17937-2026</t>
        </is>
      </c>
      <c r="B272" s="1" t="n">
        <v>46122</v>
      </c>
      <c r="C272" s="1" t="n">
        <v>46203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23839-2026</t>
        </is>
      </c>
      <c r="B273" s="1" t="n">
        <v>46167</v>
      </c>
      <c r="C273" s="1" t="n">
        <v>46203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17742-2026</t>
        </is>
      </c>
      <c r="B274" s="1" t="n">
        <v>46122</v>
      </c>
      <c r="C274" s="1" t="n">
        <v>46203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17741-2026</t>
        </is>
      </c>
      <c r="B275" s="1" t="n">
        <v>46122</v>
      </c>
      <c r="C275" s="1" t="n">
        <v>46203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40518-2022</t>
        </is>
      </c>
      <c r="B276" s="1" t="n">
        <v>44819</v>
      </c>
      <c r="C276" s="1" t="n">
        <v>46203</v>
      </c>
      <c r="D276" t="inlineStr">
        <is>
          <t>ÖSTERGÖTLANDS LÄN</t>
        </is>
      </c>
      <c r="E276" t="inlineStr">
        <is>
          <t>MOTALA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53438-2024</t>
        </is>
      </c>
      <c r="B277" s="1" t="n">
        <v>45614</v>
      </c>
      <c r="C277" s="1" t="n">
        <v>46203</v>
      </c>
      <c r="D277" t="inlineStr">
        <is>
          <t>ÖSTERGÖTLANDS LÄN</t>
        </is>
      </c>
      <c r="E277" t="inlineStr">
        <is>
          <t>MOTALA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28202-2023</t>
        </is>
      </c>
      <c r="B278" s="1" t="n">
        <v>45099</v>
      </c>
      <c r="C278" s="1" t="n">
        <v>46203</v>
      </c>
      <c r="D278" t="inlineStr">
        <is>
          <t>ÖSTERGÖTLANDS LÄN</t>
        </is>
      </c>
      <c r="E278" t="inlineStr">
        <is>
          <t>MOTALA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24832-2026</t>
        </is>
      </c>
      <c r="B279" s="1" t="n">
        <v>46174</v>
      </c>
      <c r="C279" s="1" t="n">
        <v>46203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19108-2026</t>
        </is>
      </c>
      <c r="B280" s="1" t="n">
        <v>46132</v>
      </c>
      <c r="C280" s="1" t="n">
        <v>46203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38878-2023</t>
        </is>
      </c>
      <c r="B281" s="1" t="n">
        <v>45161</v>
      </c>
      <c r="C281" s="1" t="n">
        <v>46203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32470-2022</t>
        </is>
      </c>
      <c r="B282" s="1" t="n">
        <v>44782</v>
      </c>
      <c r="C282" s="1" t="n">
        <v>46203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14927-2026</t>
        </is>
      </c>
      <c r="B283" s="1" t="n">
        <v>46104</v>
      </c>
      <c r="C283" s="1" t="n">
        <v>46203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19110-2026</t>
        </is>
      </c>
      <c r="B284" s="1" t="n">
        <v>46132</v>
      </c>
      <c r="C284" s="1" t="n">
        <v>46203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24829-2026</t>
        </is>
      </c>
      <c r="B285" s="1" t="n">
        <v>46174</v>
      </c>
      <c r="C285" s="1" t="n">
        <v>46203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24831-2026</t>
        </is>
      </c>
      <c r="B286" s="1" t="n">
        <v>46174</v>
      </c>
      <c r="C286" s="1" t="n">
        <v>46203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24830-2026</t>
        </is>
      </c>
      <c r="B287" s="1" t="n">
        <v>46174</v>
      </c>
      <c r="C287" s="1" t="n">
        <v>46203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31430-2023</t>
        </is>
      </c>
      <c r="B288" s="1" t="n">
        <v>45114</v>
      </c>
      <c r="C288" s="1" t="n">
        <v>46203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37618-2025</t>
        </is>
      </c>
      <c r="B289" s="1" t="n">
        <v>45880</v>
      </c>
      <c r="C289" s="1" t="n">
        <v>46203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52385-2025</t>
        </is>
      </c>
      <c r="B290" s="1" t="n">
        <v>45954</v>
      </c>
      <c r="C290" s="1" t="n">
        <v>46203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37428-2021</t>
        </is>
      </c>
      <c r="B291" s="1" t="n">
        <v>44398</v>
      </c>
      <c r="C291" s="1" t="n">
        <v>46203</v>
      </c>
      <c r="D291" t="inlineStr">
        <is>
          <t>ÖSTERGÖTLANDS LÄN</t>
        </is>
      </c>
      <c r="E291" t="inlineStr">
        <is>
          <t>MOTALA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40528-2022</t>
        </is>
      </c>
      <c r="B292" s="1" t="n">
        <v>44819</v>
      </c>
      <c r="C292" s="1" t="n">
        <v>46203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5888-2025</t>
        </is>
      </c>
      <c r="B293" s="1" t="n">
        <v>45695</v>
      </c>
      <c r="C293" s="1" t="n">
        <v>46203</v>
      </c>
      <c r="D293" t="inlineStr">
        <is>
          <t>ÖSTERGÖTLANDS LÄN</t>
        </is>
      </c>
      <c r="E293" t="inlineStr">
        <is>
          <t>MOTALA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32889-2025</t>
        </is>
      </c>
      <c r="B294" s="1" t="n">
        <v>45839</v>
      </c>
      <c r="C294" s="1" t="n">
        <v>46203</v>
      </c>
      <c r="D294" t="inlineStr">
        <is>
          <t>ÖSTERGÖTLANDS LÄN</t>
        </is>
      </c>
      <c r="E294" t="inlineStr">
        <is>
          <t>MOTALA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1038-2023</t>
        </is>
      </c>
      <c r="B295" s="1" t="n">
        <v>44935</v>
      </c>
      <c r="C295" s="1" t="n">
        <v>46203</v>
      </c>
      <c r="D295" t="inlineStr">
        <is>
          <t>ÖSTERGÖTLANDS LÄN</t>
        </is>
      </c>
      <c r="E295" t="inlineStr">
        <is>
          <t>MOTALA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20815-2026</t>
        </is>
      </c>
      <c r="B296" s="1" t="n">
        <v>46141</v>
      </c>
      <c r="C296" s="1" t="n">
        <v>46203</v>
      </c>
      <c r="D296" t="inlineStr">
        <is>
          <t>ÖSTERGÖTLANDS LÄN</t>
        </is>
      </c>
      <c r="E296" t="inlineStr">
        <is>
          <t>MOTALA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20832-2026</t>
        </is>
      </c>
      <c r="B297" s="1" t="n">
        <v>46142</v>
      </c>
      <c r="C297" s="1" t="n">
        <v>46203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50137-2023</t>
        </is>
      </c>
      <c r="B298" s="1" t="n">
        <v>45215</v>
      </c>
      <c r="C298" s="1" t="n">
        <v>46203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20833-2026</t>
        </is>
      </c>
      <c r="B299" s="1" t="n">
        <v>46142</v>
      </c>
      <c r="C299" s="1" t="n">
        <v>46203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20834-2026</t>
        </is>
      </c>
      <c r="B300" s="1" t="n">
        <v>46142</v>
      </c>
      <c r="C300" s="1" t="n">
        <v>46203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9081-2022</t>
        </is>
      </c>
      <c r="B301" s="1" t="n">
        <v>44615</v>
      </c>
      <c r="C301" s="1" t="n">
        <v>46203</v>
      </c>
      <c r="D301" t="inlineStr">
        <is>
          <t>ÖSTERGÖTLANDS LÄN</t>
        </is>
      </c>
      <c r="E301" t="inlineStr">
        <is>
          <t>MOTALA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18915-2023</t>
        </is>
      </c>
      <c r="B302" s="1" t="n">
        <v>45043</v>
      </c>
      <c r="C302" s="1" t="n">
        <v>46203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Övriga statliga verk och myndigheter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27088-2026</t>
        </is>
      </c>
      <c r="B303" s="1" t="n">
        <v>46188</v>
      </c>
      <c r="C303" s="1" t="n">
        <v>46203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27089-2026</t>
        </is>
      </c>
      <c r="B304" s="1" t="n">
        <v>46188</v>
      </c>
      <c r="C304" s="1" t="n">
        <v>46203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27273-2026</t>
        </is>
      </c>
      <c r="B305" s="1" t="n">
        <v>46188</v>
      </c>
      <c r="C305" s="1" t="n">
        <v>46203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27587-2026</t>
        </is>
      </c>
      <c r="B306" s="1" t="n">
        <v>46190</v>
      </c>
      <c r="C306" s="1" t="n">
        <v>46203</v>
      </c>
      <c r="D306" t="inlineStr">
        <is>
          <t>ÖSTERGÖTLANDS LÄN</t>
        </is>
      </c>
      <c r="E306" t="inlineStr">
        <is>
          <t>MOTALA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27591-2026</t>
        </is>
      </c>
      <c r="B307" s="1" t="n">
        <v>46190</v>
      </c>
      <c r="C307" s="1" t="n">
        <v>46203</v>
      </c>
      <c r="D307" t="inlineStr">
        <is>
          <t>ÖSTERGÖTLANDS LÄN</t>
        </is>
      </c>
      <c r="E307" t="inlineStr">
        <is>
          <t>MOTALA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27694-2026</t>
        </is>
      </c>
      <c r="B308" s="1" t="n">
        <v>46190</v>
      </c>
      <c r="C308" s="1" t="n">
        <v>46203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27695-2026</t>
        </is>
      </c>
      <c r="B309" s="1" t="n">
        <v>46190</v>
      </c>
      <c r="C309" s="1" t="n">
        <v>46203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27915-2026</t>
        </is>
      </c>
      <c r="B310" s="1" t="n">
        <v>46191</v>
      </c>
      <c r="C310" s="1" t="n">
        <v>46203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27925-2026</t>
        </is>
      </c>
      <c r="B311" s="1" t="n">
        <v>46191</v>
      </c>
      <c r="C311" s="1" t="n">
        <v>46203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57697-2023</t>
        </is>
      </c>
      <c r="B312" s="1" t="n">
        <v>45243</v>
      </c>
      <c r="C312" s="1" t="n">
        <v>46203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24.8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57710-2023</t>
        </is>
      </c>
      <c r="B313" s="1" t="n">
        <v>45243</v>
      </c>
      <c r="C313" s="1" t="n">
        <v>46203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27735-2026</t>
        </is>
      </c>
      <c r="B314" s="1" t="n">
        <v>46191</v>
      </c>
      <c r="C314" s="1" t="n">
        <v>46203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40191-2021</t>
        </is>
      </c>
      <c r="B315" s="1" t="n">
        <v>44418</v>
      </c>
      <c r="C315" s="1" t="n">
        <v>46203</v>
      </c>
      <c r="D315" t="inlineStr">
        <is>
          <t>ÖSTERGÖTLANDS LÄN</t>
        </is>
      </c>
      <c r="E315" t="inlineStr">
        <is>
          <t>MOTALA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27161-2025</t>
        </is>
      </c>
      <c r="B316" s="1" t="n">
        <v>45812</v>
      </c>
      <c r="C316" s="1" t="n">
        <v>46203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42311-2021</t>
        </is>
      </c>
      <c r="B317" s="1" t="n">
        <v>44427</v>
      </c>
      <c r="C317" s="1" t="n">
        <v>46203</v>
      </c>
      <c r="D317" t="inlineStr">
        <is>
          <t>ÖSTERGÖTLANDS LÄN</t>
        </is>
      </c>
      <c r="E317" t="inlineStr">
        <is>
          <t>MOTALA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28700-2026</t>
        </is>
      </c>
      <c r="B318" s="1" t="n">
        <v>46198</v>
      </c>
      <c r="C318" s="1" t="n">
        <v>46203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28678-2026</t>
        </is>
      </c>
      <c r="B319" s="1" t="n">
        <v>46198</v>
      </c>
      <c r="C319" s="1" t="n">
        <v>46203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28684-2026</t>
        </is>
      </c>
      <c r="B320" s="1" t="n">
        <v>46198</v>
      </c>
      <c r="C320" s="1" t="n">
        <v>46203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28699-2026</t>
        </is>
      </c>
      <c r="B321" s="1" t="n">
        <v>46198</v>
      </c>
      <c r="C321" s="1" t="n">
        <v>46203</v>
      </c>
      <c r="D321" t="inlineStr">
        <is>
          <t>ÖSTERGÖTLANDS LÄN</t>
        </is>
      </c>
      <c r="E321" t="inlineStr">
        <is>
          <t>MOTALA</t>
        </is>
      </c>
      <c r="F321" t="inlineStr">
        <is>
          <t>Allmännings- och besparingsskogar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22921-2026</t>
        </is>
      </c>
      <c r="B322" s="1" t="n">
        <v>46160</v>
      </c>
      <c r="C322" s="1" t="n">
        <v>46203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29028-2026</t>
        </is>
      </c>
      <c r="B323" s="1" t="n">
        <v>46199</v>
      </c>
      <c r="C323" s="1" t="n">
        <v>46203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54125-2022</t>
        </is>
      </c>
      <c r="B324" s="1" t="n">
        <v>44881</v>
      </c>
      <c r="C324" s="1" t="n">
        <v>46203</v>
      </c>
      <c r="D324" t="inlineStr">
        <is>
          <t>ÖSTERGÖTLANDS LÄN</t>
        </is>
      </c>
      <c r="E324" t="inlineStr">
        <is>
          <t>MOTALA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22795-2026</t>
        </is>
      </c>
      <c r="B325" s="1" t="n">
        <v>46158</v>
      </c>
      <c r="C325" s="1" t="n">
        <v>46203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56275-2022</t>
        </is>
      </c>
      <c r="B326" s="1" t="n">
        <v>44890</v>
      </c>
      <c r="C326" s="1" t="n">
        <v>46203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29077-2022</t>
        </is>
      </c>
      <c r="B327" s="1" t="n">
        <v>44750</v>
      </c>
      <c r="C327" s="1" t="n">
        <v>46203</v>
      </c>
      <c r="D327" t="inlineStr">
        <is>
          <t>ÖSTERGÖTLANDS LÄN</t>
        </is>
      </c>
      <c r="E327" t="inlineStr">
        <is>
          <t>MOTALA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29525-2024</t>
        </is>
      </c>
      <c r="B328" s="1" t="n">
        <v>45484</v>
      </c>
      <c r="C328" s="1" t="n">
        <v>46203</v>
      </c>
      <c r="D328" t="inlineStr">
        <is>
          <t>ÖSTERGÖTLANDS LÄN</t>
        </is>
      </c>
      <c r="E328" t="inlineStr">
        <is>
          <t>MOTALA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29128-2026</t>
        </is>
      </c>
      <c r="B329" s="1" t="n">
        <v>46202</v>
      </c>
      <c r="C329" s="1" t="n">
        <v>46203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53491-2022</t>
        </is>
      </c>
      <c r="B330" s="1" t="n">
        <v>44879</v>
      </c>
      <c r="C330" s="1" t="n">
        <v>46203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22940-2026</t>
        </is>
      </c>
      <c r="B331" s="1" t="n">
        <v>46160</v>
      </c>
      <c r="C331" s="1" t="n">
        <v>46203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42130-2024</t>
        </is>
      </c>
      <c r="B332" s="1" t="n">
        <v>45562</v>
      </c>
      <c r="C332" s="1" t="n">
        <v>46203</v>
      </c>
      <c r="D332" t="inlineStr">
        <is>
          <t>ÖSTERGÖTLANDS LÄN</t>
        </is>
      </c>
      <c r="E332" t="inlineStr">
        <is>
          <t>MOTALA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22831-2026</t>
        </is>
      </c>
      <c r="B333" s="1" t="n">
        <v>46160</v>
      </c>
      <c r="C333" s="1" t="n">
        <v>46203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64184-2023</t>
        </is>
      </c>
      <c r="B334" s="1" t="n">
        <v>45279</v>
      </c>
      <c r="C334" s="1" t="n">
        <v>46203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22920-2026</t>
        </is>
      </c>
      <c r="B335" s="1" t="n">
        <v>46160</v>
      </c>
      <c r="C335" s="1" t="n">
        <v>46203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43369-2023</t>
        </is>
      </c>
      <c r="B336" s="1" t="n">
        <v>45183</v>
      </c>
      <c r="C336" s="1" t="n">
        <v>46203</v>
      </c>
      <c r="D336" t="inlineStr">
        <is>
          <t>ÖSTERGÖTLANDS LÄN</t>
        </is>
      </c>
      <c r="E336" t="inlineStr">
        <is>
          <t>MOTALA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12091-2023</t>
        </is>
      </c>
      <c r="B337" s="1" t="n">
        <v>44998</v>
      </c>
      <c r="C337" s="1" t="n">
        <v>46203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58344-2022</t>
        </is>
      </c>
      <c r="B338" s="1" t="n">
        <v>44893</v>
      </c>
      <c r="C338" s="1" t="n">
        <v>46203</v>
      </c>
      <c r="D338" t="inlineStr">
        <is>
          <t>ÖSTERGÖTLANDS LÄN</t>
        </is>
      </c>
      <c r="E338" t="inlineStr">
        <is>
          <t>MOTALA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55295-2023</t>
        </is>
      </c>
      <c r="B339" s="1" t="n">
        <v>45237</v>
      </c>
      <c r="C339" s="1" t="n">
        <v>46203</v>
      </c>
      <c r="D339" t="inlineStr">
        <is>
          <t>ÖSTERGÖTLANDS LÄN</t>
        </is>
      </c>
      <c r="E339" t="inlineStr">
        <is>
          <t>MOTALA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4873-2024</t>
        </is>
      </c>
      <c r="B340" s="1" t="n">
        <v>45329</v>
      </c>
      <c r="C340" s="1" t="n">
        <v>46203</v>
      </c>
      <c r="D340" t="inlineStr">
        <is>
          <t>ÖSTERGÖTLANDS LÄN</t>
        </is>
      </c>
      <c r="E340" t="inlineStr">
        <is>
          <t>MOTALA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17008-2022</t>
        </is>
      </c>
      <c r="B341" s="1" t="n">
        <v>44676</v>
      </c>
      <c r="C341" s="1" t="n">
        <v>46203</v>
      </c>
      <c r="D341" t="inlineStr">
        <is>
          <t>ÖSTERGÖTLANDS LÄN</t>
        </is>
      </c>
      <c r="E341" t="inlineStr">
        <is>
          <t>MOTALA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48684-2024</t>
        </is>
      </c>
      <c r="B342" s="1" t="n">
        <v>45593</v>
      </c>
      <c r="C342" s="1" t="n">
        <v>46203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11061-2022</t>
        </is>
      </c>
      <c r="B343" s="1" t="n">
        <v>44628</v>
      </c>
      <c r="C343" s="1" t="n">
        <v>46203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30377-2023</t>
        </is>
      </c>
      <c r="B344" s="1" t="n">
        <v>45111</v>
      </c>
      <c r="C344" s="1" t="n">
        <v>46203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50248-2022</t>
        </is>
      </c>
      <c r="B345" s="1" t="n">
        <v>44865</v>
      </c>
      <c r="C345" s="1" t="n">
        <v>46203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22113-2023</t>
        </is>
      </c>
      <c r="B346" s="1" t="n">
        <v>45069</v>
      </c>
      <c r="C346" s="1" t="n">
        <v>46203</v>
      </c>
      <c r="D346" t="inlineStr">
        <is>
          <t>ÖSTERGÖTLANDS LÄN</t>
        </is>
      </c>
      <c r="E346" t="inlineStr">
        <is>
          <t>MOTALA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16452-2023</t>
        </is>
      </c>
      <c r="B347" s="1" t="n">
        <v>45029</v>
      </c>
      <c r="C347" s="1" t="n">
        <v>46203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19234-2024</t>
        </is>
      </c>
      <c r="B348" s="1" t="n">
        <v>45428</v>
      </c>
      <c r="C348" s="1" t="n">
        <v>46203</v>
      </c>
      <c r="D348" t="inlineStr">
        <is>
          <t>ÖSTERGÖTLANDS LÄN</t>
        </is>
      </c>
      <c r="E348" t="inlineStr">
        <is>
          <t>MOTALA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65561-2021</t>
        </is>
      </c>
      <c r="B349" s="1" t="n">
        <v>44516</v>
      </c>
      <c r="C349" s="1" t="n">
        <v>46203</v>
      </c>
      <c r="D349" t="inlineStr">
        <is>
          <t>ÖSTERGÖTLANDS LÄN</t>
        </is>
      </c>
      <c r="E349" t="inlineStr">
        <is>
          <t>MOTALA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9622-2023</t>
        </is>
      </c>
      <c r="B350" s="1" t="n">
        <v>44984</v>
      </c>
      <c r="C350" s="1" t="n">
        <v>46203</v>
      </c>
      <c r="D350" t="inlineStr">
        <is>
          <t>ÖSTERGÖTLANDS LÄN</t>
        </is>
      </c>
      <c r="E350" t="inlineStr">
        <is>
          <t>MOTALA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10324-2023</t>
        </is>
      </c>
      <c r="B351" s="1" t="n">
        <v>44987</v>
      </c>
      <c r="C351" s="1" t="n">
        <v>46203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41093-2023</t>
        </is>
      </c>
      <c r="B352" s="1" t="n">
        <v>45173</v>
      </c>
      <c r="C352" s="1" t="n">
        <v>46203</v>
      </c>
      <c r="D352" t="inlineStr">
        <is>
          <t>ÖSTERGÖTLANDS LÄN</t>
        </is>
      </c>
      <c r="E352" t="inlineStr">
        <is>
          <t>MOTALA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50733-2024</t>
        </is>
      </c>
      <c r="B353" s="1" t="n">
        <v>45602</v>
      </c>
      <c r="C353" s="1" t="n">
        <v>46203</v>
      </c>
      <c r="D353" t="inlineStr">
        <is>
          <t>ÖSTERGÖTLANDS LÄN</t>
        </is>
      </c>
      <c r="E353" t="inlineStr">
        <is>
          <t>MOTALA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7034-2024</t>
        </is>
      </c>
      <c r="B354" s="1" t="n">
        <v>45343</v>
      </c>
      <c r="C354" s="1" t="n">
        <v>46203</v>
      </c>
      <c r="D354" t="inlineStr">
        <is>
          <t>ÖSTERGÖTLANDS LÄN</t>
        </is>
      </c>
      <c r="E354" t="inlineStr">
        <is>
          <t>MOTALA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29523-2024</t>
        </is>
      </c>
      <c r="B355" s="1" t="n">
        <v>45484</v>
      </c>
      <c r="C355" s="1" t="n">
        <v>46203</v>
      </c>
      <c r="D355" t="inlineStr">
        <is>
          <t>ÖSTERGÖTLANDS LÄN</t>
        </is>
      </c>
      <c r="E355" t="inlineStr">
        <is>
          <t>MOTALA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7295-2022</t>
        </is>
      </c>
      <c r="B356" s="1" t="n">
        <v>44606</v>
      </c>
      <c r="C356" s="1" t="n">
        <v>46203</v>
      </c>
      <c r="D356" t="inlineStr">
        <is>
          <t>ÖSTERGÖTLANDS LÄN</t>
        </is>
      </c>
      <c r="E356" t="inlineStr">
        <is>
          <t>MOTALA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43995-2023</t>
        </is>
      </c>
      <c r="B357" s="1" t="n">
        <v>45187</v>
      </c>
      <c r="C357" s="1" t="n">
        <v>46203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12156-2024</t>
        </is>
      </c>
      <c r="B358" s="1" t="n">
        <v>45377</v>
      </c>
      <c r="C358" s="1" t="n">
        <v>46203</v>
      </c>
      <c r="D358" t="inlineStr">
        <is>
          <t>ÖSTERGÖTLANDS LÄN</t>
        </is>
      </c>
      <c r="E358" t="inlineStr">
        <is>
          <t>MOTALA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21048-2024</t>
        </is>
      </c>
      <c r="B359" s="1" t="n">
        <v>45439</v>
      </c>
      <c r="C359" s="1" t="n">
        <v>46203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27410-2024</t>
        </is>
      </c>
      <c r="B360" s="1" t="n">
        <v>45473</v>
      </c>
      <c r="C360" s="1" t="n">
        <v>46203</v>
      </c>
      <c r="D360" t="inlineStr">
        <is>
          <t>ÖSTERGÖTLANDS LÄN</t>
        </is>
      </c>
      <c r="E360" t="inlineStr">
        <is>
          <t>MOTALA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45099-2023</t>
        </is>
      </c>
      <c r="B361" s="1" t="n">
        <v>45187</v>
      </c>
      <c r="C361" s="1" t="n">
        <v>46203</v>
      </c>
      <c r="D361" t="inlineStr">
        <is>
          <t>ÖSTERGÖTLANDS LÄN</t>
        </is>
      </c>
      <c r="E361" t="inlineStr">
        <is>
          <t>MOTALA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13422-2022</t>
        </is>
      </c>
      <c r="B362" s="1" t="n">
        <v>44645</v>
      </c>
      <c r="C362" s="1" t="n">
        <v>46203</v>
      </c>
      <c r="D362" t="inlineStr">
        <is>
          <t>ÖSTERGÖTLANDS LÄN</t>
        </is>
      </c>
      <c r="E362" t="inlineStr">
        <is>
          <t>MOTALA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18921-2024</t>
        </is>
      </c>
      <c r="B363" s="1" t="n">
        <v>45427</v>
      </c>
      <c r="C363" s="1" t="n">
        <v>46203</v>
      </c>
      <c r="D363" t="inlineStr">
        <is>
          <t>ÖSTERGÖTLANDS LÄN</t>
        </is>
      </c>
      <c r="E363" t="inlineStr">
        <is>
          <t>MOTALA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8108-2024</t>
        </is>
      </c>
      <c r="B364" s="1" t="n">
        <v>45351</v>
      </c>
      <c r="C364" s="1" t="n">
        <v>46203</v>
      </c>
      <c r="D364" t="inlineStr">
        <is>
          <t>ÖSTERGÖTLANDS LÄN</t>
        </is>
      </c>
      <c r="E364" t="inlineStr">
        <is>
          <t>MOTALA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49867-2024</t>
        </is>
      </c>
      <c r="B365" s="1" t="n">
        <v>45597</v>
      </c>
      <c r="C365" s="1" t="n">
        <v>46203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56325-2024</t>
        </is>
      </c>
      <c r="B366" s="1" t="n">
        <v>45624</v>
      </c>
      <c r="C366" s="1" t="n">
        <v>46203</v>
      </c>
      <c r="D366" t="inlineStr">
        <is>
          <t>ÖSTERGÖTLANDS LÄN</t>
        </is>
      </c>
      <c r="E366" t="inlineStr">
        <is>
          <t>MOTALA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43368-2023</t>
        </is>
      </c>
      <c r="B367" s="1" t="n">
        <v>45183</v>
      </c>
      <c r="C367" s="1" t="n">
        <v>46203</v>
      </c>
      <c r="D367" t="inlineStr">
        <is>
          <t>ÖSTERGÖTLANDS LÄN</t>
        </is>
      </c>
      <c r="E367" t="inlineStr">
        <is>
          <t>MOTALA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55025-2024</t>
        </is>
      </c>
      <c r="B368" s="1" t="n">
        <v>45621</v>
      </c>
      <c r="C368" s="1" t="n">
        <v>46203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52302-2023</t>
        </is>
      </c>
      <c r="B369" s="1" t="n">
        <v>45224</v>
      </c>
      <c r="C369" s="1" t="n">
        <v>46203</v>
      </c>
      <c r="D369" t="inlineStr">
        <is>
          <t>ÖSTERGÖTLANDS LÄN</t>
        </is>
      </c>
      <c r="E369" t="inlineStr">
        <is>
          <t>MOTALA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7925-2022</t>
        </is>
      </c>
      <c r="B370" s="1" t="n">
        <v>44608</v>
      </c>
      <c r="C370" s="1" t="n">
        <v>46203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7927-2022</t>
        </is>
      </c>
      <c r="B371" s="1" t="n">
        <v>44608</v>
      </c>
      <c r="C371" s="1" t="n">
        <v>46203</v>
      </c>
      <c r="D371" t="inlineStr">
        <is>
          <t>ÖSTERGÖTLANDS LÄN</t>
        </is>
      </c>
      <c r="E371" t="inlineStr">
        <is>
          <t>MOTALA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4271-2025</t>
        </is>
      </c>
      <c r="B372" s="1" t="n">
        <v>45685</v>
      </c>
      <c r="C372" s="1" t="n">
        <v>46203</v>
      </c>
      <c r="D372" t="inlineStr">
        <is>
          <t>ÖSTERGÖTLANDS LÄN</t>
        </is>
      </c>
      <c r="E372" t="inlineStr">
        <is>
          <t>MOTALA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8111-2024</t>
        </is>
      </c>
      <c r="B373" s="1" t="n">
        <v>45351</v>
      </c>
      <c r="C373" s="1" t="n">
        <v>46203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28194-2023</t>
        </is>
      </c>
      <c r="B374" s="1" t="n">
        <v>45099</v>
      </c>
      <c r="C374" s="1" t="n">
        <v>46203</v>
      </c>
      <c r="D374" t="inlineStr">
        <is>
          <t>ÖSTERGÖTLANDS LÄN</t>
        </is>
      </c>
      <c r="E374" t="inlineStr">
        <is>
          <t>MOTALA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53454-2024</t>
        </is>
      </c>
      <c r="B375" s="1" t="n">
        <v>45614</v>
      </c>
      <c r="C375" s="1" t="n">
        <v>46203</v>
      </c>
      <c r="D375" t="inlineStr">
        <is>
          <t>ÖSTERGÖTLANDS LÄN</t>
        </is>
      </c>
      <c r="E375" t="inlineStr">
        <is>
          <t>MOTALA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28681-2022</t>
        </is>
      </c>
      <c r="B376" s="1" t="n">
        <v>44748</v>
      </c>
      <c r="C376" s="1" t="n">
        <v>46203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28686-2022</t>
        </is>
      </c>
      <c r="B377" s="1" t="n">
        <v>44748</v>
      </c>
      <c r="C377" s="1" t="n">
        <v>46203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24252-2022</t>
        </is>
      </c>
      <c r="B378" s="1" t="n">
        <v>44725</v>
      </c>
      <c r="C378" s="1" t="n">
        <v>46203</v>
      </c>
      <c r="D378" t="inlineStr">
        <is>
          <t>ÖSTERGÖTLANDS LÄN</t>
        </is>
      </c>
      <c r="E378" t="inlineStr">
        <is>
          <t>MOTALA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55277-2023</t>
        </is>
      </c>
      <c r="B379" s="1" t="n">
        <v>45237</v>
      </c>
      <c r="C379" s="1" t="n">
        <v>46203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31753-2022</t>
        </is>
      </c>
      <c r="B380" s="1" t="n">
        <v>44776</v>
      </c>
      <c r="C380" s="1" t="n">
        <v>46203</v>
      </c>
      <c r="D380" t="inlineStr">
        <is>
          <t>ÖSTERGÖTLANDS LÄN</t>
        </is>
      </c>
      <c r="E380" t="inlineStr">
        <is>
          <t>MOTALA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44298-2023</t>
        </is>
      </c>
      <c r="B381" s="1" t="n">
        <v>45187</v>
      </c>
      <c r="C381" s="1" t="n">
        <v>46203</v>
      </c>
      <c r="D381" t="inlineStr">
        <is>
          <t>ÖSTERGÖTLANDS LÄN</t>
        </is>
      </c>
      <c r="E381" t="inlineStr">
        <is>
          <t>MOTALA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1178-2024</t>
        </is>
      </c>
      <c r="B382" s="1" t="n">
        <v>45302</v>
      </c>
      <c r="C382" s="1" t="n">
        <v>46203</v>
      </c>
      <c r="D382" t="inlineStr">
        <is>
          <t>ÖSTERGÖTLANDS LÄN</t>
        </is>
      </c>
      <c r="E382" t="inlineStr">
        <is>
          <t>MOTALA</t>
        </is>
      </c>
      <c r="F382" t="inlineStr">
        <is>
          <t>Övriga statliga verk och myndigheter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25977-2022</t>
        </is>
      </c>
      <c r="B383" s="1" t="n">
        <v>44734</v>
      </c>
      <c r="C383" s="1" t="n">
        <v>46203</v>
      </c>
      <c r="D383" t="inlineStr">
        <is>
          <t>ÖSTERGÖTLANDS LÄN</t>
        </is>
      </c>
      <c r="E383" t="inlineStr">
        <is>
          <t>MOTALA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62065-2023</t>
        </is>
      </c>
      <c r="B384" s="1" t="n">
        <v>45266</v>
      </c>
      <c r="C384" s="1" t="n">
        <v>46203</v>
      </c>
      <c r="D384" t="inlineStr">
        <is>
          <t>ÖSTERGÖTLANDS LÄN</t>
        </is>
      </c>
      <c r="E384" t="inlineStr">
        <is>
          <t>MOTALA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36725-2022</t>
        </is>
      </c>
      <c r="B385" s="1" t="n">
        <v>44804</v>
      </c>
      <c r="C385" s="1" t="n">
        <v>46203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24254-2022</t>
        </is>
      </c>
      <c r="B386" s="1" t="n">
        <v>44725</v>
      </c>
      <c r="C386" s="1" t="n">
        <v>46203</v>
      </c>
      <c r="D386" t="inlineStr">
        <is>
          <t>ÖSTERGÖTLANDS LÄN</t>
        </is>
      </c>
      <c r="E386" t="inlineStr">
        <is>
          <t>MOTALA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5073-2023</t>
        </is>
      </c>
      <c r="B387" s="1" t="n">
        <v>44958</v>
      </c>
      <c r="C387" s="1" t="n">
        <v>46203</v>
      </c>
      <c r="D387" t="inlineStr">
        <is>
          <t>ÖSTERGÖTLANDS LÄN</t>
        </is>
      </c>
      <c r="E387" t="inlineStr">
        <is>
          <t>MOTALA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63150-2023</t>
        </is>
      </c>
      <c r="B388" s="1" t="n">
        <v>45273</v>
      </c>
      <c r="C388" s="1" t="n">
        <v>46203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Kyrkan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38660-2024</t>
        </is>
      </c>
      <c r="B389" s="1" t="n">
        <v>45546</v>
      </c>
      <c r="C389" s="1" t="n">
        <v>46203</v>
      </c>
      <c r="D389" t="inlineStr">
        <is>
          <t>ÖSTERGÖTLANDS LÄN</t>
        </is>
      </c>
      <c r="E389" t="inlineStr">
        <is>
          <t>MOTALA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41898-2022</t>
        </is>
      </c>
      <c r="B390" s="1" t="n">
        <v>44830</v>
      </c>
      <c r="C390" s="1" t="n">
        <v>46203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41901-2022</t>
        </is>
      </c>
      <c r="B391" s="1" t="n">
        <v>44830</v>
      </c>
      <c r="C391" s="1" t="n">
        <v>46203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41924-2022</t>
        </is>
      </c>
      <c r="B392" s="1" t="n">
        <v>44830</v>
      </c>
      <c r="C392" s="1" t="n">
        <v>46203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41925-2022</t>
        </is>
      </c>
      <c r="B393" s="1" t="n">
        <v>44830</v>
      </c>
      <c r="C393" s="1" t="n">
        <v>46203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41929-2022</t>
        </is>
      </c>
      <c r="B394" s="1" t="n">
        <v>44830</v>
      </c>
      <c r="C394" s="1" t="n">
        <v>46203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7058-2024</t>
        </is>
      </c>
      <c r="B395" s="1" t="n">
        <v>45343</v>
      </c>
      <c r="C395" s="1" t="n">
        <v>46203</v>
      </c>
      <c r="D395" t="inlineStr">
        <is>
          <t>ÖSTERGÖTLANDS LÄN</t>
        </is>
      </c>
      <c r="E395" t="inlineStr">
        <is>
          <t>MOTALA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31683-2022</t>
        </is>
      </c>
      <c r="B396" s="1" t="n">
        <v>44776</v>
      </c>
      <c r="C396" s="1" t="n">
        <v>46203</v>
      </c>
      <c r="D396" t="inlineStr">
        <is>
          <t>ÖSTERGÖTLANDS LÄN</t>
        </is>
      </c>
      <c r="E396" t="inlineStr">
        <is>
          <t>MOTALA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6990-2023</t>
        </is>
      </c>
      <c r="B397" s="1" t="n">
        <v>44967</v>
      </c>
      <c r="C397" s="1" t="n">
        <v>46203</v>
      </c>
      <c r="D397" t="inlineStr">
        <is>
          <t>ÖSTERGÖTLANDS LÄN</t>
        </is>
      </c>
      <c r="E397" t="inlineStr">
        <is>
          <t>MOTALA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6992-2023</t>
        </is>
      </c>
      <c r="B398" s="1" t="n">
        <v>44967</v>
      </c>
      <c r="C398" s="1" t="n">
        <v>46203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49249-2023</t>
        </is>
      </c>
      <c r="B399" s="1" t="n">
        <v>45205</v>
      </c>
      <c r="C399" s="1" t="n">
        <v>46203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57705-2023</t>
        </is>
      </c>
      <c r="B400" s="1" t="n">
        <v>45243</v>
      </c>
      <c r="C400" s="1" t="n">
        <v>46203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25.1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60029-2021</t>
        </is>
      </c>
      <c r="B401" s="1" t="n">
        <v>44494</v>
      </c>
      <c r="C401" s="1" t="n">
        <v>46203</v>
      </c>
      <c r="D401" t="inlineStr">
        <is>
          <t>ÖSTERGÖTLANDS LÄN</t>
        </is>
      </c>
      <c r="E401" t="inlineStr">
        <is>
          <t>MOTALA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61002-2022</t>
        </is>
      </c>
      <c r="B402" s="1" t="n">
        <v>44914</v>
      </c>
      <c r="C402" s="1" t="n">
        <v>46203</v>
      </c>
      <c r="D402" t="inlineStr">
        <is>
          <t>ÖSTERGÖTLANDS LÄN</t>
        </is>
      </c>
      <c r="E402" t="inlineStr">
        <is>
          <t>MOTALA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43905-2021</t>
        </is>
      </c>
      <c r="B403" s="1" t="n">
        <v>44434</v>
      </c>
      <c r="C403" s="1" t="n">
        <v>46203</v>
      </c>
      <c r="D403" t="inlineStr">
        <is>
          <t>ÖSTERGÖTLANDS LÄN</t>
        </is>
      </c>
      <c r="E403" t="inlineStr">
        <is>
          <t>MOTALA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1102-2023</t>
        </is>
      </c>
      <c r="B404" s="1" t="n">
        <v>44935</v>
      </c>
      <c r="C404" s="1" t="n">
        <v>46203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37279-2024</t>
        </is>
      </c>
      <c r="B405" s="1" t="n">
        <v>45540</v>
      </c>
      <c r="C405" s="1" t="n">
        <v>46203</v>
      </c>
      <c r="D405" t="inlineStr">
        <is>
          <t>ÖSTERGÖTLANDS LÄN</t>
        </is>
      </c>
      <c r="E405" t="inlineStr">
        <is>
          <t>MOTALA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42137-2024</t>
        </is>
      </c>
      <c r="B406" s="1" t="n">
        <v>45562</v>
      </c>
      <c r="C406" s="1" t="n">
        <v>46203</v>
      </c>
      <c r="D406" t="inlineStr">
        <is>
          <t>ÖSTERGÖTLANDS LÄN</t>
        </is>
      </c>
      <c r="E406" t="inlineStr">
        <is>
          <t>MOTALA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11168-2023</t>
        </is>
      </c>
      <c r="B407" s="1" t="n">
        <v>44992</v>
      </c>
      <c r="C407" s="1" t="n">
        <v>46203</v>
      </c>
      <c r="D407" t="inlineStr">
        <is>
          <t>ÖSTERGÖTLANDS LÄN</t>
        </is>
      </c>
      <c r="E407" t="inlineStr">
        <is>
          <t>MOTALA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12274-2022</t>
        </is>
      </c>
      <c r="B408" s="1" t="n">
        <v>44637</v>
      </c>
      <c r="C408" s="1" t="n">
        <v>46203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12643-2022</t>
        </is>
      </c>
      <c r="B409" s="1" t="n">
        <v>44641</v>
      </c>
      <c r="C409" s="1" t="n">
        <v>46203</v>
      </c>
      <c r="D409" t="inlineStr">
        <is>
          <t>ÖSTERGÖTLANDS LÄN</t>
        </is>
      </c>
      <c r="E409" t="inlineStr">
        <is>
          <t>MOTALA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4743-2022</t>
        </is>
      </c>
      <c r="B410" s="1" t="n">
        <v>44592</v>
      </c>
      <c r="C410" s="1" t="n">
        <v>46203</v>
      </c>
      <c r="D410" t="inlineStr">
        <is>
          <t>ÖSTERGÖTLANDS LÄN</t>
        </is>
      </c>
      <c r="E410" t="inlineStr">
        <is>
          <t>MOTALA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15599-2024</t>
        </is>
      </c>
      <c r="B411" s="1" t="n">
        <v>45401</v>
      </c>
      <c r="C411" s="1" t="n">
        <v>46203</v>
      </c>
      <c r="D411" t="inlineStr">
        <is>
          <t>ÖSTERGÖTLANDS LÄN</t>
        </is>
      </c>
      <c r="E411" t="inlineStr">
        <is>
          <t>MOTALA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27965-2024</t>
        </is>
      </c>
      <c r="B412" s="1" t="n">
        <v>45476</v>
      </c>
      <c r="C412" s="1" t="n">
        <v>46203</v>
      </c>
      <c r="D412" t="inlineStr">
        <is>
          <t>ÖSTERGÖTLANDS LÄN</t>
        </is>
      </c>
      <c r="E412" t="inlineStr">
        <is>
          <t>MOTALA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18458-2024</t>
        </is>
      </c>
      <c r="B413" s="1" t="n">
        <v>45425</v>
      </c>
      <c r="C413" s="1" t="n">
        <v>46203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637-2023</t>
        </is>
      </c>
      <c r="B414" s="1" t="n">
        <v>44930</v>
      </c>
      <c r="C414" s="1" t="n">
        <v>46203</v>
      </c>
      <c r="D414" t="inlineStr">
        <is>
          <t>ÖSTERGÖTLANDS LÄN</t>
        </is>
      </c>
      <c r="E414" t="inlineStr">
        <is>
          <t>MOTALA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57992-2021</t>
        </is>
      </c>
      <c r="B415" s="1" t="n">
        <v>44487</v>
      </c>
      <c r="C415" s="1" t="n">
        <v>46203</v>
      </c>
      <c r="D415" t="inlineStr">
        <is>
          <t>ÖSTERGÖTLANDS LÄN</t>
        </is>
      </c>
      <c r="E415" t="inlineStr">
        <is>
          <t>MOTALA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1645-2022</t>
        </is>
      </c>
      <c r="B416" s="1" t="n">
        <v>44573</v>
      </c>
      <c r="C416" s="1" t="n">
        <v>46203</v>
      </c>
      <c r="D416" t="inlineStr">
        <is>
          <t>ÖSTERGÖTLANDS LÄN</t>
        </is>
      </c>
      <c r="E416" t="inlineStr">
        <is>
          <t>MOTALA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55395-2022</t>
        </is>
      </c>
      <c r="B417" s="1" t="n">
        <v>44887</v>
      </c>
      <c r="C417" s="1" t="n">
        <v>46203</v>
      </c>
      <c r="D417" t="inlineStr">
        <is>
          <t>ÖSTERGÖTLANDS LÄN</t>
        </is>
      </c>
      <c r="E417" t="inlineStr">
        <is>
          <t>MOTALA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735-2023</t>
        </is>
      </c>
      <c r="B418" s="1" t="n">
        <v>44931</v>
      </c>
      <c r="C418" s="1" t="n">
        <v>46203</v>
      </c>
      <c r="D418" t="inlineStr">
        <is>
          <t>ÖSTERGÖTLANDS LÄN</t>
        </is>
      </c>
      <c r="E418" t="inlineStr">
        <is>
          <t>MOTALA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2028-2022</t>
        </is>
      </c>
      <c r="B419" s="1" t="n">
        <v>44575</v>
      </c>
      <c r="C419" s="1" t="n">
        <v>46203</v>
      </c>
      <c r="D419" t="inlineStr">
        <is>
          <t>ÖSTERGÖTLANDS LÄN</t>
        </is>
      </c>
      <c r="E419" t="inlineStr">
        <is>
          <t>MOTALA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46203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50785-2021</t>
        </is>
      </c>
      <c r="B421" s="1" t="n">
        <v>44459</v>
      </c>
      <c r="C421" s="1" t="n">
        <v>46203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27418-2022</t>
        </is>
      </c>
      <c r="B422" s="1" t="n">
        <v>44742</v>
      </c>
      <c r="C422" s="1" t="n">
        <v>46203</v>
      </c>
      <c r="D422" t="inlineStr">
        <is>
          <t>ÖSTERGÖTLANDS LÄN</t>
        </is>
      </c>
      <c r="E422" t="inlineStr">
        <is>
          <t>MOTALA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8724-2022</t>
        </is>
      </c>
      <c r="B423" s="1" t="n">
        <v>44613</v>
      </c>
      <c r="C423" s="1" t="n">
        <v>46203</v>
      </c>
      <c r="D423" t="inlineStr">
        <is>
          <t>ÖSTERGÖTLANDS LÄN</t>
        </is>
      </c>
      <c r="E423" t="inlineStr">
        <is>
          <t>MOTALA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16586-2023</t>
        </is>
      </c>
      <c r="B424" s="1" t="n">
        <v>45030</v>
      </c>
      <c r="C424" s="1" t="n">
        <v>46203</v>
      </c>
      <c r="D424" t="inlineStr">
        <is>
          <t>ÖSTERGÖTLANDS LÄN</t>
        </is>
      </c>
      <c r="E424" t="inlineStr">
        <is>
          <t>MOTALA</t>
        </is>
      </c>
      <c r="F424" t="inlineStr">
        <is>
          <t>Kyrkan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24247-2022</t>
        </is>
      </c>
      <c r="B425" s="1" t="n">
        <v>44725</v>
      </c>
      <c r="C425" s="1" t="n">
        <v>46203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567-2022</t>
        </is>
      </c>
      <c r="B426" s="1" t="n">
        <v>44566</v>
      </c>
      <c r="C426" s="1" t="n">
        <v>46203</v>
      </c>
      <c r="D426" t="inlineStr">
        <is>
          <t>ÖSTERGÖTLANDS LÄN</t>
        </is>
      </c>
      <c r="E426" t="inlineStr">
        <is>
          <t>MOTALA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17148-2023</t>
        </is>
      </c>
      <c r="B427" s="1" t="n">
        <v>45034</v>
      </c>
      <c r="C427" s="1" t="n">
        <v>46203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2201-2023</t>
        </is>
      </c>
      <c r="B428" s="1" t="n">
        <v>44942</v>
      </c>
      <c r="C428" s="1" t="n">
        <v>46203</v>
      </c>
      <c r="D428" t="inlineStr">
        <is>
          <t>ÖSTERGÖTLANDS LÄN</t>
        </is>
      </c>
      <c r="E428" t="inlineStr">
        <is>
          <t>MOTALA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41-2025</t>
        </is>
      </c>
      <c r="B429" s="1" t="n">
        <v>45659</v>
      </c>
      <c r="C429" s="1" t="n">
        <v>46203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50082-2022</t>
        </is>
      </c>
      <c r="B430" s="1" t="n">
        <v>44865</v>
      </c>
      <c r="C430" s="1" t="n">
        <v>46203</v>
      </c>
      <c r="D430" t="inlineStr">
        <is>
          <t>ÖSTERGÖTLANDS LÄN</t>
        </is>
      </c>
      <c r="E430" t="inlineStr">
        <is>
          <t>MOTALA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26338-2023</t>
        </is>
      </c>
      <c r="B431" s="1" t="n">
        <v>45091</v>
      </c>
      <c r="C431" s="1" t="n">
        <v>46203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41937-2022</t>
        </is>
      </c>
      <c r="B432" s="1" t="n">
        <v>44830</v>
      </c>
      <c r="C432" s="1" t="n">
        <v>46203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31441-2023</t>
        </is>
      </c>
      <c r="B433" s="1" t="n">
        <v>45114</v>
      </c>
      <c r="C433" s="1" t="n">
        <v>46203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15544-2025</t>
        </is>
      </c>
      <c r="B434" s="1" t="n">
        <v>45747</v>
      </c>
      <c r="C434" s="1" t="n">
        <v>46203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185-2024</t>
        </is>
      </c>
      <c r="B435" s="1" t="n">
        <v>45294</v>
      </c>
      <c r="C435" s="1" t="n">
        <v>46203</v>
      </c>
      <c r="D435" t="inlineStr">
        <is>
          <t>ÖSTERGÖTLANDS LÄN</t>
        </is>
      </c>
      <c r="E435" t="inlineStr">
        <is>
          <t>MOTALA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2205-2023</t>
        </is>
      </c>
      <c r="B436" s="1" t="n">
        <v>44942</v>
      </c>
      <c r="C436" s="1" t="n">
        <v>46203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21527-2023</t>
        </is>
      </c>
      <c r="B437" s="1" t="n">
        <v>45061</v>
      </c>
      <c r="C437" s="1" t="n">
        <v>46203</v>
      </c>
      <c r="D437" t="inlineStr">
        <is>
          <t>ÖSTERGÖTLANDS LÄN</t>
        </is>
      </c>
      <c r="E437" t="inlineStr">
        <is>
          <t>MOTALA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51092-2024</t>
        </is>
      </c>
      <c r="B438" s="1" t="n">
        <v>45603</v>
      </c>
      <c r="C438" s="1" t="n">
        <v>46203</v>
      </c>
      <c r="D438" t="inlineStr">
        <is>
          <t>ÖSTERGÖTLANDS LÄN</t>
        </is>
      </c>
      <c r="E438" t="inlineStr">
        <is>
          <t>MOTALA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1092-2023</t>
        </is>
      </c>
      <c r="B439" s="1" t="n">
        <v>44935</v>
      </c>
      <c r="C439" s="1" t="n">
        <v>46203</v>
      </c>
      <c r="D439" t="inlineStr">
        <is>
          <t>ÖSTERGÖTLANDS LÄN</t>
        </is>
      </c>
      <c r="E439" t="inlineStr">
        <is>
          <t>MOTALA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24090-2023</t>
        </is>
      </c>
      <c r="B440" s="1" t="n">
        <v>45079</v>
      </c>
      <c r="C440" s="1" t="n">
        <v>46203</v>
      </c>
      <c r="D440" t="inlineStr">
        <is>
          <t>ÖSTERGÖTLANDS LÄN</t>
        </is>
      </c>
      <c r="E440" t="inlineStr">
        <is>
          <t>MOTALA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64164-2023</t>
        </is>
      </c>
      <c r="B441" s="1" t="n">
        <v>45279</v>
      </c>
      <c r="C441" s="1" t="n">
        <v>46203</v>
      </c>
      <c r="D441" t="inlineStr">
        <is>
          <t>ÖSTERGÖTLANDS LÄN</t>
        </is>
      </c>
      <c r="E441" t="inlineStr">
        <is>
          <t>MOTALA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1474-2023</t>
        </is>
      </c>
      <c r="B442" s="1" t="n">
        <v>44937</v>
      </c>
      <c r="C442" s="1" t="n">
        <v>46203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47905-2024</t>
        </is>
      </c>
      <c r="B443" s="1" t="n">
        <v>45589</v>
      </c>
      <c r="C443" s="1" t="n">
        <v>46203</v>
      </c>
      <c r="D443" t="inlineStr">
        <is>
          <t>ÖSTERGÖTLANDS LÄN</t>
        </is>
      </c>
      <c r="E443" t="inlineStr">
        <is>
          <t>MOTALA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24701-2024</t>
        </is>
      </c>
      <c r="B444" s="1" t="n">
        <v>45460</v>
      </c>
      <c r="C444" s="1" t="n">
        <v>46203</v>
      </c>
      <c r="D444" t="inlineStr">
        <is>
          <t>ÖSTERGÖTLANDS LÄN</t>
        </is>
      </c>
      <c r="E444" t="inlineStr">
        <is>
          <t>MOTALA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51638-2023</t>
        </is>
      </c>
      <c r="B445" s="1" t="n">
        <v>45222</v>
      </c>
      <c r="C445" s="1" t="n">
        <v>46203</v>
      </c>
      <c r="D445" t="inlineStr">
        <is>
          <t>ÖSTERGÖTLANDS LÄN</t>
        </is>
      </c>
      <c r="E445" t="inlineStr">
        <is>
          <t>MOTALA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6991-2023</t>
        </is>
      </c>
      <c r="B446" s="1" t="n">
        <v>44967</v>
      </c>
      <c r="C446" s="1" t="n">
        <v>46203</v>
      </c>
      <c r="D446" t="inlineStr">
        <is>
          <t>ÖSTERGÖTLANDS LÄN</t>
        </is>
      </c>
      <c r="E446" t="inlineStr">
        <is>
          <t>MOTALA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6996-2023</t>
        </is>
      </c>
      <c r="B447" s="1" t="n">
        <v>44967</v>
      </c>
      <c r="C447" s="1" t="n">
        <v>46203</v>
      </c>
      <c r="D447" t="inlineStr">
        <is>
          <t>ÖSTERGÖTLANDS LÄN</t>
        </is>
      </c>
      <c r="E447" t="inlineStr">
        <is>
          <t>MOTALA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9626-2023</t>
        </is>
      </c>
      <c r="B448" s="1" t="n">
        <v>44984</v>
      </c>
      <c r="C448" s="1" t="n">
        <v>46203</v>
      </c>
      <c r="D448" t="inlineStr">
        <is>
          <t>ÖSTERGÖTLANDS LÄN</t>
        </is>
      </c>
      <c r="E448" t="inlineStr">
        <is>
          <t>MOTALA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47999-2023</t>
        </is>
      </c>
      <c r="B449" s="1" t="n">
        <v>45204</v>
      </c>
      <c r="C449" s="1" t="n">
        <v>46203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62078-2023</t>
        </is>
      </c>
      <c r="B450" s="1" t="n">
        <v>45266</v>
      </c>
      <c r="C450" s="1" t="n">
        <v>46203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19526-2024</t>
        </is>
      </c>
      <c r="B451" s="1" t="n">
        <v>45429</v>
      </c>
      <c r="C451" s="1" t="n">
        <v>46203</v>
      </c>
      <c r="D451" t="inlineStr">
        <is>
          <t>ÖSTERGÖTLANDS LÄN</t>
        </is>
      </c>
      <c r="E451" t="inlineStr">
        <is>
          <t>MOTALA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2026-06-30T00:56:13Z</dcterms:created>
  <dcterms:modified xmlns:dcterms="http://purl.org/dc/terms/" xmlns:xsi="http://www.w3.org/2001/XMLSchema-instance" xsi:type="dcterms:W3CDTF">2026-06-30T00:56:13Z</dcterms:modified>
</cp:coreProperties>
</file>