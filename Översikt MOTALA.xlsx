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45667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45667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45667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45667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45667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45667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45667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Talltita
Gröngöling
Hökuggla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45667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45667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45667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45667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45667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45667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45667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45667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45667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30060-2019</t>
        </is>
      </c>
      <c r="B18" s="1" t="n">
        <v>43633</v>
      </c>
      <c r="C18" s="1" t="n">
        <v>45667</v>
      </c>
      <c r="D18" t="inlineStr">
        <is>
          <t>ÖSTERGÖTLANDS LÄN</t>
        </is>
      </c>
      <c r="E18" t="inlineStr">
        <is>
          <t>MOTALA</t>
        </is>
      </c>
      <c r="F18" t="inlineStr">
        <is>
          <t>Övriga statliga verk och myndigheter</t>
        </is>
      </c>
      <c r="G18" t="n">
        <v>7.5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30060-2019 artfynd.xlsx", "A 30060-2019")</f>
        <v/>
      </c>
      <c r="T18">
        <f>HYPERLINK("https://klasma.github.io/Logging_0583/kartor/A 30060-2019 karta.png", "A 30060-2019")</f>
        <v/>
      </c>
      <c r="V18">
        <f>HYPERLINK("https://klasma.github.io/Logging_0583/klagomål/A 30060-2019 FSC-klagomål.docx", "A 30060-2019")</f>
        <v/>
      </c>
      <c r="W18">
        <f>HYPERLINK("https://klasma.github.io/Logging_0583/klagomålsmail/A 30060-2019 FSC-klagomål mail.docx", "A 30060-2019")</f>
        <v/>
      </c>
      <c r="X18">
        <f>HYPERLINK("https://klasma.github.io/Logging_0583/tillsyn/A 30060-2019 tillsynsbegäran.docx", "A 30060-2019")</f>
        <v/>
      </c>
      <c r="Y18">
        <f>HYPERLINK("https://klasma.github.io/Logging_0583/tillsynsmail/A 30060-2019 tillsynsbegäran mail.docx", "A 30060-2019")</f>
        <v/>
      </c>
    </row>
    <row r="19" ht="15" customHeight="1">
      <c r="A19" t="inlineStr">
        <is>
          <t>A 10926-2020</t>
        </is>
      </c>
      <c r="B19" s="1" t="n">
        <v>43889</v>
      </c>
      <c r="C19" s="1" t="n">
        <v>45667</v>
      </c>
      <c r="D19" t="inlineStr">
        <is>
          <t>ÖSTERGÖTLANDS LÄN</t>
        </is>
      </c>
      <c r="E19" t="inlineStr">
        <is>
          <t>MOTALA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Buskvicker</t>
        </is>
      </c>
      <c r="S19">
        <f>HYPERLINK("https://klasma.github.io/Logging_0583/artfynd/A 10926-2020 artfynd.xlsx", "A 10926-2020")</f>
        <v/>
      </c>
      <c r="T19">
        <f>HYPERLINK("https://klasma.github.io/Logging_0583/kartor/A 10926-2020 karta.png", "A 10926-2020")</f>
        <v/>
      </c>
      <c r="V19">
        <f>HYPERLINK("https://klasma.github.io/Logging_0583/klagomål/A 10926-2020 FSC-klagomål.docx", "A 10926-2020")</f>
        <v/>
      </c>
      <c r="W19">
        <f>HYPERLINK("https://klasma.github.io/Logging_0583/klagomålsmail/A 10926-2020 FSC-klagomål mail.docx", "A 10926-2020")</f>
        <v/>
      </c>
      <c r="X19">
        <f>HYPERLINK("https://klasma.github.io/Logging_0583/tillsyn/A 10926-2020 tillsynsbegäran.docx", "A 10926-2020")</f>
        <v/>
      </c>
      <c r="Y19">
        <f>HYPERLINK("https://klasma.github.io/Logging_0583/tillsynsmail/A 10926-2020 tillsynsbegäran mail.docx", "A 10926-2020")</f>
        <v/>
      </c>
    </row>
    <row r="20" ht="15" customHeight="1">
      <c r="A20" t="inlineStr">
        <is>
          <t>A 16730-2020</t>
        </is>
      </c>
      <c r="B20" s="1" t="n">
        <v>43920</v>
      </c>
      <c r="C20" s="1" t="n">
        <v>45667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Skuggmossa</t>
        </is>
      </c>
      <c r="S20">
        <f>HYPERLINK("https://klasma.github.io/Logging_0583/artfynd/A 16730-2020 artfynd.xlsx", "A 16730-2020")</f>
        <v/>
      </c>
      <c r="T20">
        <f>HYPERLINK("https://klasma.github.io/Logging_0583/kartor/A 16730-2020 karta.png", "A 16730-2020")</f>
        <v/>
      </c>
      <c r="V20">
        <f>HYPERLINK("https://klasma.github.io/Logging_0583/klagomål/A 16730-2020 FSC-klagomål.docx", "A 16730-2020")</f>
        <v/>
      </c>
      <c r="W20">
        <f>HYPERLINK("https://klasma.github.io/Logging_0583/klagomålsmail/A 16730-2020 FSC-klagomål mail.docx", "A 16730-2020")</f>
        <v/>
      </c>
      <c r="X20">
        <f>HYPERLINK("https://klasma.github.io/Logging_0583/tillsyn/A 16730-2020 tillsynsbegäran.docx", "A 16730-2020")</f>
        <v/>
      </c>
      <c r="Y20">
        <f>HYPERLINK("https://klasma.github.io/Logging_0583/tillsynsmail/A 16730-2020 tillsynsbegäran mail.docx", "A 16730-2020")</f>
        <v/>
      </c>
    </row>
    <row r="21" ht="15" customHeight="1">
      <c r="A21" t="inlineStr">
        <is>
          <t>A 19096-2020</t>
        </is>
      </c>
      <c r="B21" s="1" t="n">
        <v>43936</v>
      </c>
      <c r="C21" s="1" t="n">
        <v>45667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HYPERLINK("https://klasma.github.io/Logging_0583/artfynd/A 19096-2020 artfynd.xlsx", "A 19096-2020")</f>
        <v/>
      </c>
      <c r="T21">
        <f>HYPERLINK("https://klasma.github.io/Logging_0583/kartor/A 19096-2020 karta.png", "A 19096-2020")</f>
        <v/>
      </c>
      <c r="V21">
        <f>HYPERLINK("https://klasma.github.io/Logging_0583/klagomål/A 19096-2020 FSC-klagomål.docx", "A 19096-2020")</f>
        <v/>
      </c>
      <c r="W21">
        <f>HYPERLINK("https://klasma.github.io/Logging_0583/klagomålsmail/A 19096-2020 FSC-klagomål mail.docx", "A 19096-2020")</f>
        <v/>
      </c>
      <c r="X21">
        <f>HYPERLINK("https://klasma.github.io/Logging_0583/tillsyn/A 19096-2020 tillsynsbegäran.docx", "A 19096-2020")</f>
        <v/>
      </c>
      <c r="Y21">
        <f>HYPERLINK("https://klasma.github.io/Logging_0583/tillsynsmail/A 19096-2020 tillsynsbegäran mail.docx", "A 19096-2020")</f>
        <v/>
      </c>
    </row>
    <row r="22" ht="15" customHeight="1">
      <c r="A22" t="inlineStr">
        <is>
          <t>A 42014-2020</t>
        </is>
      </c>
      <c r="B22" s="1" t="n">
        <v>44075</v>
      </c>
      <c r="C22" s="1" t="n">
        <v>45667</v>
      </c>
      <c r="D22" t="inlineStr">
        <is>
          <t>ÖSTERGÖTLANDS LÄN</t>
        </is>
      </c>
      <c r="E22" t="inlineStr">
        <is>
          <t>MOTALA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42014-2020 artfynd.xlsx", "A 42014-2020")</f>
        <v/>
      </c>
      <c r="T22">
        <f>HYPERLINK("https://klasma.github.io/Logging_0583/kartor/A 42014-2020 karta.png", "A 42014-2020")</f>
        <v/>
      </c>
      <c r="V22">
        <f>HYPERLINK("https://klasma.github.io/Logging_0583/klagomål/A 42014-2020 FSC-klagomål.docx", "A 42014-2020")</f>
        <v/>
      </c>
      <c r="W22">
        <f>HYPERLINK("https://klasma.github.io/Logging_0583/klagomålsmail/A 42014-2020 FSC-klagomål mail.docx", "A 42014-2020")</f>
        <v/>
      </c>
      <c r="X22">
        <f>HYPERLINK("https://klasma.github.io/Logging_0583/tillsyn/A 42014-2020 tillsynsbegäran.docx", "A 42014-2020")</f>
        <v/>
      </c>
      <c r="Y22">
        <f>HYPERLINK("https://klasma.github.io/Logging_0583/tillsynsmail/A 42014-2020 tillsynsbegäran mail.docx", "A 42014-2020")</f>
        <v/>
      </c>
    </row>
    <row r="23" ht="15" customHeight="1">
      <c r="A23" t="inlineStr">
        <is>
          <t>A 16870-2021</t>
        </is>
      </c>
      <c r="B23" s="1" t="n">
        <v>44293</v>
      </c>
      <c r="C23" s="1" t="n">
        <v>45667</v>
      </c>
      <c r="D23" t="inlineStr">
        <is>
          <t>ÖSTERGÖTLANDS LÄN</t>
        </is>
      </c>
      <c r="E23" t="inlineStr">
        <is>
          <t>MOTALA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16870-2021 artfynd.xlsx", "A 16870-2021")</f>
        <v/>
      </c>
      <c r="T23">
        <f>HYPERLINK("https://klasma.github.io/Logging_0583/kartor/A 16870-2021 karta.png", "A 16870-2021")</f>
        <v/>
      </c>
      <c r="V23">
        <f>HYPERLINK("https://klasma.github.io/Logging_0583/klagomål/A 16870-2021 FSC-klagomål.docx", "A 16870-2021")</f>
        <v/>
      </c>
      <c r="W23">
        <f>HYPERLINK("https://klasma.github.io/Logging_0583/klagomålsmail/A 16870-2021 FSC-klagomål mail.docx", "A 16870-2021")</f>
        <v/>
      </c>
      <c r="X23">
        <f>HYPERLINK("https://klasma.github.io/Logging_0583/tillsyn/A 16870-2021 tillsynsbegäran.docx", "A 16870-2021")</f>
        <v/>
      </c>
      <c r="Y23">
        <f>HYPERLINK("https://klasma.github.io/Logging_0583/tillsynsmail/A 16870-2021 tillsynsbegäran mail.docx", "A 16870-2021")</f>
        <v/>
      </c>
    </row>
    <row r="24" ht="15" customHeight="1">
      <c r="A24" t="inlineStr">
        <is>
          <t>A 49305-2021</t>
        </is>
      </c>
      <c r="B24" s="1" t="n">
        <v>44454</v>
      </c>
      <c r="C24" s="1" t="n">
        <v>45667</v>
      </c>
      <c r="D24" t="inlineStr">
        <is>
          <t>ÖSTERGÖTLANDS LÄN</t>
        </is>
      </c>
      <c r="E24" t="inlineStr">
        <is>
          <t>MOTALA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HYPERLINK("https://klasma.github.io/Logging_0583/artfynd/A 49305-2021 artfynd.xlsx", "A 49305-2021")</f>
        <v/>
      </c>
      <c r="T24">
        <f>HYPERLINK("https://klasma.github.io/Logging_0583/kartor/A 49305-2021 karta.png", "A 49305-2021")</f>
        <v/>
      </c>
      <c r="V24">
        <f>HYPERLINK("https://klasma.github.io/Logging_0583/klagomål/A 49305-2021 FSC-klagomål.docx", "A 49305-2021")</f>
        <v/>
      </c>
      <c r="W24">
        <f>HYPERLINK("https://klasma.github.io/Logging_0583/klagomålsmail/A 49305-2021 FSC-klagomål mail.docx", "A 49305-2021")</f>
        <v/>
      </c>
      <c r="X24">
        <f>HYPERLINK("https://klasma.github.io/Logging_0583/tillsyn/A 49305-2021 tillsynsbegäran.docx", "A 49305-2021")</f>
        <v/>
      </c>
      <c r="Y24">
        <f>HYPERLINK("https://klasma.github.io/Logging_0583/tillsynsmail/A 49305-2021 tillsynsbegäran mail.docx", "A 49305-2021")</f>
        <v/>
      </c>
    </row>
    <row r="25" ht="15" customHeight="1">
      <c r="A25" t="inlineStr">
        <is>
          <t>A 72192-2021</t>
        </is>
      </c>
      <c r="B25" s="1" t="n">
        <v>44544</v>
      </c>
      <c r="C25" s="1" t="n">
        <v>45667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72192-2021 artfynd.xlsx", "A 72192-2021")</f>
        <v/>
      </c>
      <c r="T25">
        <f>HYPERLINK("https://klasma.github.io/Logging_0583/kartor/A 72192-2021 karta.png", "A 72192-2021")</f>
        <v/>
      </c>
      <c r="V25">
        <f>HYPERLINK("https://klasma.github.io/Logging_0583/klagomål/A 72192-2021 FSC-klagomål.docx", "A 72192-2021")</f>
        <v/>
      </c>
      <c r="W25">
        <f>HYPERLINK("https://klasma.github.io/Logging_0583/klagomålsmail/A 72192-2021 FSC-klagomål mail.docx", "A 72192-2021")</f>
        <v/>
      </c>
      <c r="X25">
        <f>HYPERLINK("https://klasma.github.io/Logging_0583/tillsyn/A 72192-2021 tillsynsbegäran.docx", "A 72192-2021")</f>
        <v/>
      </c>
      <c r="Y25">
        <f>HYPERLINK("https://klasma.github.io/Logging_0583/tillsynsmail/A 72192-2021 tillsynsbegäran mail.docx", "A 72192-2021")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45667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45667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45667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45667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45667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45667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45667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45667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45667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45667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45667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45667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45667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45667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45667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45667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45667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45667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45667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45667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45667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45667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45667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45667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45667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45667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45667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45667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45667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45667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45667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45667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45667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45667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45667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45667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45667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45667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45667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45667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45667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45667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45667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45667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45667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45667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45667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45667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45667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45667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45667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45667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45667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45667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45667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45667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45667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45667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45667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45667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45667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45667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45667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45667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45667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45667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45667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45667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45667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45667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45667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45667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45667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45667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45667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45667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45667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45667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45667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45667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45667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45667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45667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45667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45667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45667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45667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45667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45667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45667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45667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45667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45667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45667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45667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45667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45667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45667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45667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45667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45667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45667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45667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45667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45667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45667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45667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45667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45667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45667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45667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45667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45667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45667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45667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45667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45667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45667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45667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45667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45667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45667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45667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45667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45667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45667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45667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45667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45667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45667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45667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45667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45667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45667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45667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45667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45667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45667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45667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45667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45667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45667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45667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45667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45667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45667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45667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45667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45667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45667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45667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45667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45667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45667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45667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45667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45667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45667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45667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45667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45667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45667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45667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45667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45667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45667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45667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45667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45667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45667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45667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45667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45667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45667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45667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45667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45667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45667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45667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45667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45667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45667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45667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45667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45667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45667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45667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45667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45667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45667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45667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45667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45667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45667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45667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45667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45667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45667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45667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45667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45667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45667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45667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45667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45667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45667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45667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45667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45667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45667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45667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45667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45667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45667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45667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45667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45667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45667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45667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45667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45667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45667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45667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45667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45667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45667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45667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45667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45667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45667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45667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45667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45667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45667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45667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45667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45667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45667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45667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45667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45667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45667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45667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45667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45667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45667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45667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45667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45667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45667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45667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45667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45667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45667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45667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45667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45667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45667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45667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45667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45667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45667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45667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45667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45667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45667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45667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45667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45667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45667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45667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45667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45667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45667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45667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45667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45667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45667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45667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45667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45667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45667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45667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45667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45667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45667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45667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45667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45667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45667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45667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45667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45667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45667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45667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45667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45667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45667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45667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45667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45667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45667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45667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45667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45667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45667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45667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45667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45667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45667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45667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45667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45667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45667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45667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45667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45667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45667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45667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45667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45667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45667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45667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45667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45667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45667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45667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45667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45667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45667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45667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45667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45667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45667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45667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45667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45667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45667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45667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45667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45667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45667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45667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45667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45667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45667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45667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45667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45667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45667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45667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45667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45667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45667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45667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45667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45667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45667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45667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45667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45667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45667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45667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45667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45667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45667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45667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45667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45667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45667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45667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45667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45667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45667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45667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45667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45667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45667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45667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45667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45667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45667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45667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45667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45667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45667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45667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45667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45667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45667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45667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45667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45667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45667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45667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45667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45667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45667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45667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45667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45667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45667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45667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45667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45667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45667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45667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45667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45667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45667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45667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45667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45667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45667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45667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45667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45667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45667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45667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45667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45667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45667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45667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45667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45667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45667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45667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45667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45667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45667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45667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45667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45667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45667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45667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45667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45667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45667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45667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45667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45667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45667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45667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45667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45667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45667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45667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45667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45667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45667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45667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45667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45667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45667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45667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45667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45667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45667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45667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45667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45667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45667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45667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45667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45667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45667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45667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45667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45667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45667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45667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45667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45667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45667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45667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45667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45667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45667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45667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45667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45667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45667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45667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45667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45667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45667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45667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45667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45667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45667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45667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45667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45667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45667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45667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45667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45667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45667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45667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45667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45667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45667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45667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45667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45667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45667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45667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45667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45667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45667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45667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45667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45667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45667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45667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45667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45667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45667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45667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45667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45667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45667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45667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45667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45667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45667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45667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45667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45667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45667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45667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45667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45667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45667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45667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45667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45667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45667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45667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45667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45667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45667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45667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45667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45667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45667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45667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45667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45667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45667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45667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45667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45667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45667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45667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45667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45667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45667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45667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45667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45667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45667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45667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45667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45667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45667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45667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45667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45667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45667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45667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45667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45667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45667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45667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45667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45667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45667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45667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45667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45667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45667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45667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45667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45667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45667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45667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45667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45667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45667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45667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45667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45667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45667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45667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45667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45667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45667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45667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45667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45667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45667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45667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45667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45667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45667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45667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45667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45667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45667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45667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45667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45667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45667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45667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45667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45667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45667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45667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45667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45667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45667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45667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45667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45667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45667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45667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45667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45667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45667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45667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45667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45667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45667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45667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45667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45667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45667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45667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45667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45667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45667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45667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45667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45667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45667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45667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45667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45667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45667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45667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45667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45667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45667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45667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45667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45667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45667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45667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45667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45667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45667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45667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45667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45667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45667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45667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45667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45667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45667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45667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45667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45667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45667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45667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45667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45667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45667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45667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45667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45667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45667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45667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45667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45667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45667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45667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45667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45667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45667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45667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45667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45667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45667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45667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45667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45667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45667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45667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45667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45667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45667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45667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45667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45667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45667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45667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45667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45667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45667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45667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45667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45667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45667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45667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45667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45667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45667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45667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45667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45667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45667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45667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45667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45667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45667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45667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45667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45667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45667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45667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45667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45667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45667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45667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45667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45667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45667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45667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45667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45667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45667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45667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45667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45667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45667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45667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45667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45667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45667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45667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45667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45667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45667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45667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45667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45667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45667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45667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45667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45667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45667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45667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45667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45667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45667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45667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45667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45667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45667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45667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45667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45667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45667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45667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45667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45667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45667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45667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45667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45667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45667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45667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45667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45667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45667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45667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45667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45667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45667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45667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45667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45667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45667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45667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45667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45667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45667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45667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45667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45667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45667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45667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45667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45667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45667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45667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45667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45667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45667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45667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45667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45667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45667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45667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45667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45667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45667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45667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45667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45667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45667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45667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45667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45667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45667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45667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45667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45667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45667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45667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45667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45667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45667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45667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45667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45667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45667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45667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45667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45667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45667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45667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45667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45667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45667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45667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45667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45667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45667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45667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45667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45667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45667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45667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45667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45667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45667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45667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45667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45667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45667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45667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45667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45667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45667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45667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45667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45667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45667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45667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45667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45667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45667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45667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45667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45667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45667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45667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45667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45667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45667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45667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45667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45667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45667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45667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45667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45667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45667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45667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45667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45667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45667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45667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45667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45667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45667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45667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45667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45667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45667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45667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45667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45667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45667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45667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45667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45667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45667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45667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45667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45667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45667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45667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45667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45667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45667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45667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45667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53781-2024</t>
        </is>
      </c>
      <c r="B946" s="1" t="n">
        <v>45615</v>
      </c>
      <c r="C946" s="1" t="n">
        <v>45667</v>
      </c>
      <c r="D946" t="inlineStr">
        <is>
          <t>ÖSTERGÖTLANDS LÄN</t>
        </is>
      </c>
      <c r="E946" t="inlineStr">
        <is>
          <t>MOTALA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55031-2024</t>
        </is>
      </c>
      <c r="B947" s="1" t="n">
        <v>45621</v>
      </c>
      <c r="C947" s="1" t="n">
        <v>45667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45667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45667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55028-2024</t>
        </is>
      </c>
      <c r="B950" s="1" t="n">
        <v>45621</v>
      </c>
      <c r="C950" s="1" t="n">
        <v>45667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55160-2024</t>
        </is>
      </c>
      <c r="B951" s="1" t="n">
        <v>45621</v>
      </c>
      <c r="C951" s="1" t="n">
        <v>45667</v>
      </c>
      <c r="D951" t="inlineStr">
        <is>
          <t>ÖSTERGÖTLANDS LÄN</t>
        </is>
      </c>
      <c r="E951" t="inlineStr">
        <is>
          <t>MOTALA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55025-2024</t>
        </is>
      </c>
      <c r="B952" s="1" t="n">
        <v>45621</v>
      </c>
      <c r="C952" s="1" t="n">
        <v>45667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45667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45667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45667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45667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45667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45667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45667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59753-2024</t>
        </is>
      </c>
      <c r="B960" s="1" t="n">
        <v>45639</v>
      </c>
      <c r="C960" s="1" t="n">
        <v>45667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59848-2024</t>
        </is>
      </c>
      <c r="B961" s="1" t="n">
        <v>45639</v>
      </c>
      <c r="C961" s="1" t="n">
        <v>45667</v>
      </c>
      <c r="D961" t="inlineStr">
        <is>
          <t>ÖSTERGÖTLANDS LÄN</t>
        </is>
      </c>
      <c r="E961" t="inlineStr">
        <is>
          <t>MOTALA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59849-2024</t>
        </is>
      </c>
      <c r="B962" s="1" t="n">
        <v>45639</v>
      </c>
      <c r="C962" s="1" t="n">
        <v>45667</v>
      </c>
      <c r="D962" t="inlineStr">
        <is>
          <t>ÖSTERGÖTLANDS LÄN</t>
        </is>
      </c>
      <c r="E962" t="inlineStr">
        <is>
          <t>MOTALA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60644-2024</t>
        </is>
      </c>
      <c r="B963" s="1" t="n">
        <v>45644</v>
      </c>
      <c r="C963" s="1" t="n">
        <v>45667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60637-2024</t>
        </is>
      </c>
      <c r="B964" s="1" t="n">
        <v>45644</v>
      </c>
      <c r="C964" s="1" t="n">
        <v>45667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45667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60641-2024</t>
        </is>
      </c>
      <c r="B966" s="1" t="n">
        <v>45644</v>
      </c>
      <c r="C966" s="1" t="n">
        <v>45667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60682-2024</t>
        </is>
      </c>
      <c r="B967" s="1" t="n">
        <v>45644</v>
      </c>
      <c r="C967" s="1" t="n">
        <v>45667</v>
      </c>
      <c r="D967" t="inlineStr">
        <is>
          <t>ÖSTERGÖTLANDS LÄN</t>
        </is>
      </c>
      <c r="E967" t="inlineStr">
        <is>
          <t>MOTALA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60669-2024</t>
        </is>
      </c>
      <c r="B968" s="1" t="n">
        <v>45644</v>
      </c>
      <c r="C968" s="1" t="n">
        <v>45667</v>
      </c>
      <c r="D968" t="inlineStr">
        <is>
          <t>ÖSTERGÖTLANDS LÄN</t>
        </is>
      </c>
      <c r="E968" t="inlineStr">
        <is>
          <t>MOTALA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60725-2024</t>
        </is>
      </c>
      <c r="B969" s="1" t="n">
        <v>45644</v>
      </c>
      <c r="C969" s="1" t="n">
        <v>45667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41-2025</t>
        </is>
      </c>
      <c r="B970" s="1" t="n">
        <v>45659</v>
      </c>
      <c r="C970" s="1" t="n">
        <v>45667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960-2025</t>
        </is>
      </c>
      <c r="B971" s="1" t="n">
        <v>45666</v>
      </c>
      <c r="C971" s="1" t="n">
        <v>45667</v>
      </c>
      <c r="D971" t="inlineStr">
        <is>
          <t>ÖSTERGÖTLANDS LÄN</t>
        </is>
      </c>
      <c r="E971" t="inlineStr">
        <is>
          <t>MOTALA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1074-2025</t>
        </is>
      </c>
      <c r="B972" s="1" t="n">
        <v>45666</v>
      </c>
      <c r="C972" s="1" t="n">
        <v>45667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2025-01-10T16:15:56Z</dcterms:created>
  <dcterms:modified xmlns:dcterms="http://purl.org/dc/terms/" xmlns:xsi="http://www.w3.org/2001/XMLSchema-instance" xsi:type="dcterms:W3CDTF">2025-01-10T16:15:56Z</dcterms:modified>
</cp:coreProperties>
</file>