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46279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46279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46279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46279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46279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46279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46279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A 40801-2025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45897</v>
      </c>
      <c r="E9" s="1" t="n">
        <v>46279</v>
      </c>
      <c r="F9" t="inlineStr">
        <is>
          <t>ÖSTERGÖTLANDS LÄN</t>
        </is>
      </c>
      <c r="G9" t="inlineStr">
        <is>
          <t>MOTALA</t>
        </is>
      </c>
      <c r="I9" t="n">
        <v>11.4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Raggbock
Dropptaggsvamp
Talltita
Mindre märgborre
Thomsons trägnagare
Vågbandad barkbock
Spillkråka</t>
        </is>
      </c>
      <c r="W9">
        <f>HYPERLINK("https://klasma.github.io/Logging_0583/artfynd/A 40801-2025 artfynd.xlsx", "A 40801-2025")</f>
        <v/>
      </c>
      <c r="X9">
        <f>HYPERLINK("https://klasma.github.io/Logging_0583/kartor/A 40801-2025 karta.png", "A 40801-2025")</f>
        <v/>
      </c>
      <c r="Y9">
        <f>HYPERLINK("https://klasma.github.io/Logging_0583/kartor_geotiff/A 40801-2025 georefererad karta.tif", "A 40801-2025")</f>
        <v/>
      </c>
      <c r="AA9">
        <f>HYPERLINK("https://klasma.github.io/Logging_0583/klagomål/A 40801-2025 FSC-klagomål.docx", "A 40801-2025")</f>
        <v/>
      </c>
      <c r="AB9">
        <f>HYPERLINK("https://klasma.github.io/Logging_0583/klagomålsmail/A 40801-2025 FSC-klagomål mail.docx", "A 40801-2025")</f>
        <v/>
      </c>
      <c r="AC9">
        <f>HYPERLINK("https://klasma.github.io/Logging_0583/tillsyn/A 40801-2025 tillsynsbegäran.docx", "A 40801-2025")</f>
        <v/>
      </c>
      <c r="AD9">
        <f>HYPERLINK("https://klasma.github.io/Logging_0583/tillsynsmail/A 40801-2025 tillsynsbegäran mail.docx", "A 40801-2025")</f>
        <v/>
      </c>
      <c r="AE9">
        <f>HYPERLINK("https://klasma.github.io/Logging_0583/fåglar/A 40801-2025 prioriterade fågelarter.docx", "A 40801-2025")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46279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46279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46279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46279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46279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46279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28395-2022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44747</v>
      </c>
      <c r="E16" s="1" t="n">
        <v>46279</v>
      </c>
      <c r="F16" t="inlineStr">
        <is>
          <t>ÖSTERGÖTLANDS LÄN</t>
        </is>
      </c>
      <c r="G16" t="inlineStr">
        <is>
          <t>MOTALA</t>
        </is>
      </c>
      <c r="I16" t="n">
        <v>8.300000000000001</v>
      </c>
      <c r="J16" t="n">
        <v>6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6</v>
      </c>
      <c r="U16" t="n">
        <v>6</v>
      </c>
      <c r="V16" s="2" t="inlineStr">
        <is>
          <t>Skogsgås
Nattskärra
Tjäder
Gröngöling
Grönsiska
Sångsvan</t>
        </is>
      </c>
      <c r="W16">
        <f>HYPERLINK("https://klasma.github.io/Logging_0583/artfynd/A 28395-2022 artfynd.xlsx", "A 28395-2022")</f>
        <v/>
      </c>
      <c r="X16">
        <f>HYPERLINK("https://klasma.github.io/Logging_0583/kartor/A 28395-2022 karta.png", "A 28395-2022")</f>
        <v/>
      </c>
      <c r="Y16">
        <f>HYPERLINK("https://klasma.github.io/Logging_0583/kartor_geotiff/A 28395-2022 georefererad karta.tif", "A 28395-2022")</f>
        <v/>
      </c>
      <c r="AA16">
        <f>HYPERLINK("https://klasma.github.io/Logging_0583/klagomål/A 28395-2022 FSC-klagomål.docx", "A 28395-2022")</f>
        <v/>
      </c>
      <c r="AB16">
        <f>HYPERLINK("https://klasma.github.io/Logging_0583/klagomålsmail/A 28395-2022 FSC-klagomål mail.docx", "A 28395-2022")</f>
        <v/>
      </c>
      <c r="AC16">
        <f>HYPERLINK("https://klasma.github.io/Logging_0583/tillsyn/A 28395-2022 tillsynsbegäran.docx", "A 28395-2022")</f>
        <v/>
      </c>
      <c r="AD16">
        <f>HYPERLINK("https://klasma.github.io/Logging_0583/tillsynsmail/A 28395-2022 tillsynsbegäran mail.docx", "A 28395-2022")</f>
        <v/>
      </c>
      <c r="AE16">
        <f>HYPERLINK("https://klasma.github.io/Logging_0583/fåglar/A 28395-2022 prioriterade fågelarter.docx", "A 28395-2022")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46279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46279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17736-2026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46279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2.4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Järnsparv
Talltita
Björksplintborre
Grönsiska</t>
        </is>
      </c>
      <c r="W19">
        <f>HYPERLINK("https://klasma.github.io/Logging_0583/artfynd/A 17736-2026 artfynd.xlsx", "A 17736-2026")</f>
        <v/>
      </c>
      <c r="X19">
        <f>HYPERLINK("https://klasma.github.io/Logging_0583/kartor/A 17736-2026 karta.png", "A 17736-2026")</f>
        <v/>
      </c>
      <c r="Y19">
        <f>HYPERLINK("https://klasma.github.io/Logging_0583/kartor_geotiff/A 17736-2026 georefererad karta.tif", "A 17736-2026")</f>
        <v/>
      </c>
      <c r="AA19">
        <f>HYPERLINK("https://klasma.github.io/Logging_0583/klagomål/A 17736-2026 FSC-klagomål.docx", "A 17736-2026")</f>
        <v/>
      </c>
      <c r="AB19">
        <f>HYPERLINK("https://klasma.github.io/Logging_0583/klagomålsmail/A 17736-2026 FSC-klagomål mail.docx", "A 17736-2026")</f>
        <v/>
      </c>
      <c r="AC19">
        <f>HYPERLINK("https://klasma.github.io/Logging_0583/tillsyn/A 17736-2026 tillsynsbegäran.docx", "A 17736-2026")</f>
        <v/>
      </c>
      <c r="AD19">
        <f>HYPERLINK("https://klasma.github.io/Logging_0583/tillsynsmail/A 17736-2026 tillsynsbegäran mail.docx", "A 17736-2026")</f>
        <v/>
      </c>
      <c r="AE19">
        <f>HYPERLINK("https://klasma.github.io/Logging_0583/fåglar/A 17736-2026 prioriterade fågelarter.docx", "A 17736-2026")</f>
        <v/>
      </c>
    </row>
    <row r="20" ht="15" customHeight="1">
      <c r="A20" t="inlineStr">
        <is>
          <t>S 1687-2025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45804</v>
      </c>
      <c r="E20" s="1" t="n">
        <v>46279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0.2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Gul dropplav
Brun nållav
Fällmossa
Gulpudrad spiklav</t>
        </is>
      </c>
      <c r="W20">
        <f>HYPERLINK("https://klasma.github.io/Logging_0583/artfynd/S 1687-2025 artfynd.xlsx", "S 1687-2025")</f>
        <v/>
      </c>
      <c r="X20">
        <f>HYPERLINK("https://klasma.github.io/Logging_0583/kartor/S 1687-2025 karta.png", "S 1687-2025")</f>
        <v/>
      </c>
      <c r="Y20">
        <f>HYPERLINK("https://klasma.github.io/Logging_0583/kartor_geotiff/S 1687-2025 georefererad karta.tif", "S 1687-2025")</f>
        <v/>
      </c>
      <c r="AA20">
        <f>HYPERLINK("https://klasma.github.io/Logging_0583/klagomål/S 1687-2025 FSC-klagomål.docx", "S 1687-2025")</f>
        <v/>
      </c>
      <c r="AB20">
        <f>HYPERLINK("https://klasma.github.io/Logging_0583/klagomålsmail/S 1687-2025 FSC-klagomål mail.docx", "S 1687-2025")</f>
        <v/>
      </c>
      <c r="AC20">
        <f>HYPERLINK("https://klasma.github.io/Logging_0583/tillsyn/S 1687-2025 tillsynsbegäran.docx", "S 1687-2025")</f>
        <v/>
      </c>
      <c r="AD20">
        <f>HYPERLINK("https://klasma.github.io/Logging_0583/tillsynsmail/S 1687-2025 tillsynsbegäran mail.docx", "S 1687-2025")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46279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46279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A 1931-2025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46279</v>
      </c>
      <c r="F23" t="inlineStr">
        <is>
          <t>ÖSTERGÖTLANDS LÄN</t>
        </is>
      </c>
      <c r="G23" t="inlineStr">
        <is>
          <t>MOTALA</t>
        </is>
      </c>
      <c r="H23" t="inlineStr">
        <is>
          <t>Allmännings- och besparingsskogar</t>
        </is>
      </c>
      <c r="I23" t="n">
        <v>17.4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Grovticka
Tjäder
Nattviol</t>
        </is>
      </c>
      <c r="W23">
        <f>HYPERLINK("https://klasma.github.io/Logging_0583/artfynd/A 1931-2025 artfynd.xlsx", "A 1931-2025")</f>
        <v/>
      </c>
      <c r="X23">
        <f>HYPERLINK("https://klasma.github.io/Logging_0583/kartor/A 1931-2025 karta.png", "A 1931-2025")</f>
        <v/>
      </c>
      <c r="Y23">
        <f>HYPERLINK("https://klasma.github.io/Logging_0583/kartor_geotiff/A 1931-2025 georefererad karta.tif", "A 1931-2025")</f>
        <v/>
      </c>
      <c r="AA23">
        <f>HYPERLINK("https://klasma.github.io/Logging_0583/klagomål/A 1931-2025 FSC-klagomål.docx", "A 1931-2025")</f>
        <v/>
      </c>
      <c r="AB23">
        <f>HYPERLINK("https://klasma.github.io/Logging_0583/klagomålsmail/A 1931-2025 FSC-klagomål mail.docx", "A 1931-2025")</f>
        <v/>
      </c>
      <c r="AC23">
        <f>HYPERLINK("https://klasma.github.io/Logging_0583/tillsyn/A 1931-2025 tillsynsbegäran.docx", "A 1931-2025")</f>
        <v/>
      </c>
      <c r="AD23">
        <f>HYPERLINK("https://klasma.github.io/Logging_0583/tillsynsmail/A 1931-2025 tillsynsbegäran mail.docx", "A 1931-2025")</f>
        <v/>
      </c>
      <c r="AE23">
        <f>HYPERLINK("https://klasma.github.io/Logging_0583/fåglar/A 1931-2025 prioriterade fågelarter.docx", "A 1931-2025")</f>
        <v/>
      </c>
    </row>
    <row r="24" ht="15" customHeight="1">
      <c r="A24" t="inlineStr">
        <is>
          <t>S 3349-2024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45531</v>
      </c>
      <c r="E24" s="1" t="n">
        <v>46279</v>
      </c>
      <c r="F24" t="inlineStr">
        <is>
          <t>ÖSTERGÖTLANDS LÄN</t>
        </is>
      </c>
      <c r="G24" t="inlineStr">
        <is>
          <t>MOTALA</t>
        </is>
      </c>
      <c r="I24" t="n">
        <v>6.6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Fällmossa
Svart trolldruva</t>
        </is>
      </c>
      <c r="W24">
        <f>HYPERLINK("https://klasma.github.io/Logging_0583/artfynd/S 3349-2024 artfynd.xlsx", "S 3349-2024")</f>
        <v/>
      </c>
      <c r="X24">
        <f>HYPERLINK("https://klasma.github.io/Logging_0583/kartor/S 3349-2024 karta.png", "S 3349-2024")</f>
        <v/>
      </c>
      <c r="Y24">
        <f>HYPERLINK("https://klasma.github.io/Logging_0583/kartor_geotiff/S 3349-2024 georefererad karta.tif", "S 3349-2024")</f>
        <v/>
      </c>
      <c r="AA24">
        <f>HYPERLINK("https://klasma.github.io/Logging_0583/klagomål/S 3349-2024 FSC-klagomål.docx", "S 3349-2024")</f>
        <v/>
      </c>
      <c r="AB24">
        <f>HYPERLINK("https://klasma.github.io/Logging_0583/klagomålsmail/S 3349-2024 FSC-klagomål mail.docx", "S 3349-2024")</f>
        <v/>
      </c>
      <c r="AC24">
        <f>HYPERLINK("https://klasma.github.io/Logging_0583/tillsyn/S 3349-2024 tillsynsbegäran.docx", "S 3349-2024")</f>
        <v/>
      </c>
      <c r="AD24">
        <f>HYPERLINK("https://klasma.github.io/Logging_0583/tillsynsmail/S 3349-2024 tillsynsbegäran mail.docx", "S 3349-2024")</f>
        <v/>
      </c>
    </row>
    <row r="25" ht="15" customHeight="1">
      <c r="A25" t="inlineStr">
        <is>
          <t>S 422-2026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46071</v>
      </c>
      <c r="E25" s="1" t="n">
        <v>46279</v>
      </c>
      <c r="F25" t="inlineStr">
        <is>
          <t>ÖSTERGÖTLANDS LÄN</t>
        </is>
      </c>
      <c r="G25" t="inlineStr">
        <is>
          <t>MOTALA</t>
        </is>
      </c>
      <c r="I25" t="n">
        <v>3.1</v>
      </c>
      <c r="J25" t="n">
        <v>2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Buskvicker
Brun nållav
Kopparödla</t>
        </is>
      </c>
      <c r="W25">
        <f>HYPERLINK("https://klasma.github.io/Logging_0583/artfynd/S 422-2026 artfynd.xlsx", "S 422-2026")</f>
        <v/>
      </c>
      <c r="X25">
        <f>HYPERLINK("https://klasma.github.io/Logging_0583/kartor/S 422-2026 karta.png", "S 422-2026")</f>
        <v/>
      </c>
      <c r="Y25">
        <f>HYPERLINK("https://klasma.github.io/Logging_0583/kartor_geotiff/S 422-2026 georefererad karta.tif", "S 422-2026")</f>
        <v/>
      </c>
      <c r="AA25">
        <f>HYPERLINK("https://klasma.github.io/Logging_0583/klagomål/S 422-2026 FSC-klagomål.docx", "S 422-2026")</f>
        <v/>
      </c>
      <c r="AB25">
        <f>HYPERLINK("https://klasma.github.io/Logging_0583/klagomålsmail/S 422-2026 FSC-klagomål mail.docx", "S 422-2026")</f>
        <v/>
      </c>
      <c r="AC25">
        <f>HYPERLINK("https://klasma.github.io/Logging_0583/tillsyn/S 422-2026 tillsynsbegäran.docx", "S 422-2026")</f>
        <v/>
      </c>
      <c r="AD25">
        <f>HYPERLINK("https://klasma.github.io/Logging_0583/tillsynsmail/S 422-2026 tillsynsbegäran mail.docx", "S 422-2026")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46279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46279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46279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Blomkålssvamp
Mattlummer</t>
        </is>
      </c>
      <c r="W28">
        <f>HYPERLINK("https://klasma.github.io/Logging_0583/artfynd/A 2153-2026 artfynd.xlsx", "A 2153-2026")</f>
        <v/>
      </c>
      <c r="X28">
        <f>HYPERLINK("https://klasma.github.io/Logging_0583/kartor/A 2153-2026 karta.png", "A 2153-2026")</f>
        <v/>
      </c>
      <c r="Y28">
        <f>HYPERLINK("https://klasma.github.io/Logging_0583/kartor_geotiff/A 2153-2026 georefererad karta.tif", "A 2153-2026")</f>
        <v/>
      </c>
      <c r="AA28">
        <f>HYPERLINK("https://klasma.github.io/Logging_0583/klagomål/A 2153-2026 FSC-klagomål.docx", "A 2153-2026")</f>
        <v/>
      </c>
      <c r="AB28">
        <f>HYPERLINK("https://klasma.github.io/Logging_0583/klagomålsmail/A 2153-2026 FSC-klagomål mail.docx", "A 2153-2026")</f>
        <v/>
      </c>
      <c r="AC28">
        <f>HYPERLINK("https://klasma.github.io/Logging_0583/tillsyn/A 2153-2026 tillsynsbegäran.docx", "A 2153-2026")</f>
        <v/>
      </c>
      <c r="AD28">
        <f>HYPERLINK("https://klasma.github.io/Logging_0583/tillsynsmail/A 2153-2026 tillsynsbegäran mail.docx", "A 2153-2026")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46279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46279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46279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46279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18894-2023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45044</v>
      </c>
      <c r="E33" s="1" t="n">
        <v>46279</v>
      </c>
      <c r="F33" t="inlineStr">
        <is>
          <t>ÖSTERGÖTLANDS LÄN</t>
        </is>
      </c>
      <c r="G33" t="inlineStr">
        <is>
          <t>MOTALA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11</v>
      </c>
      <c r="U33" t="n">
        <v>0</v>
      </c>
      <c r="V33" s="2" t="inlineStr">
        <is>
          <t>Ask
Skogsalm</t>
        </is>
      </c>
      <c r="W33">
        <f>HYPERLINK("https://klasma.github.io/Logging_0583/artfynd/A 18894-2023 artfynd.xlsx", "A 18894-2023")</f>
        <v/>
      </c>
      <c r="X33">
        <f>HYPERLINK("https://klasma.github.io/Logging_0583/kartor/A 18894-2023 karta.png", "A 18894-2023")</f>
        <v/>
      </c>
      <c r="Y33">
        <f>HYPERLINK("https://klasma.github.io/Logging_0583/kartor_geotiff/A 18894-2023 georefererad karta.tif", "A 18894-2023")</f>
        <v/>
      </c>
      <c r="AA33">
        <f>HYPERLINK("https://klasma.github.io/Logging_0583/klagomål/A 18894-2023 FSC-klagomål.docx", "A 18894-2023")</f>
        <v/>
      </c>
      <c r="AB33">
        <f>HYPERLINK("https://klasma.github.io/Logging_0583/klagomålsmail/A 18894-2023 FSC-klagomål mail.docx", "A 18894-2023")</f>
        <v/>
      </c>
      <c r="AC33">
        <f>HYPERLINK("https://klasma.github.io/Logging_0583/tillsyn/A 18894-2023 tillsynsbegäran.docx", "A 18894-2023")</f>
        <v/>
      </c>
      <c r="AD33">
        <f>HYPERLINK("https://klasma.github.io/Logging_0583/tillsynsmail/A 18894-2023 tillsynsbegäran mail.docx", "A 18894-2023")</f>
        <v/>
      </c>
    </row>
    <row r="34" ht="15" customHeight="1">
      <c r="A34" t="inlineStr">
        <is>
          <t>S 247-2025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45684</v>
      </c>
      <c r="E34" s="1" t="n">
        <v>46279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0</v>
      </c>
      <c r="V34" s="2" t="inlineStr">
        <is>
          <t>Knärot
Blåmossa</t>
        </is>
      </c>
      <c r="W34">
        <f>HYPERLINK("https://klasma.github.io/Logging_0583/artfynd/S 247-2025 artfynd.xlsx", "S 247-2025")</f>
        <v/>
      </c>
      <c r="X34">
        <f>HYPERLINK("https://klasma.github.io/Logging_0583/kartor/S 247-2025 karta.png", "S 247-2025")</f>
        <v/>
      </c>
      <c r="Y34">
        <f>HYPERLINK("https://klasma.github.io/Logging_0583/kartor_geotiff/S 247-2025 georefererad karta.tif", "S 247-2025")</f>
        <v/>
      </c>
      <c r="Z34">
        <f>HYPERLINK("https://klasma.github.io/Logging_0583/knärot/S 247-2025 karta knärot.png", "S 247-2025")</f>
        <v/>
      </c>
      <c r="AA34">
        <f>HYPERLINK("https://klasma.github.io/Logging_0583/klagomål/S 247-2025 FSC-klagomål.docx", "S 247-2025")</f>
        <v/>
      </c>
      <c r="AB34">
        <f>HYPERLINK("https://klasma.github.io/Logging_0583/klagomålsmail/S 247-2025 FSC-klagomål mail.docx", "S 247-2025")</f>
        <v/>
      </c>
      <c r="AC34">
        <f>HYPERLINK("https://klasma.github.io/Logging_0583/tillsyn/S 247-2025 tillsynsbegäran.docx", "S 247-2025")</f>
        <v/>
      </c>
      <c r="AD34">
        <f>HYPERLINK("https://klasma.github.io/Logging_0583/tillsynsmail/S 247-2025 tillsynsbegäran mail.docx", "S 247-2025")</f>
        <v/>
      </c>
    </row>
    <row r="35" ht="15" customHeight="1">
      <c r="A35" t="inlineStr">
        <is>
          <t>A 72192-2021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44544</v>
      </c>
      <c r="E35" s="1" t="n">
        <v>46279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HYPERLINK("https://klasma.github.io/Logging_0583/artfynd/A 72192-2021 artfynd.xlsx", "A 72192-2021")</f>
        <v/>
      </c>
      <c r="X35">
        <f>HYPERLINK("https://klasma.github.io/Logging_0583/kartor/A 72192-2021 karta.png", "A 72192-2021")</f>
        <v/>
      </c>
      <c r="Y35">
        <f>HYPERLINK("https://klasma.github.io/Logging_0583/kartor_geotiff/A 72192-2021 georefererad karta.tif", "A 72192-2021")</f>
        <v/>
      </c>
      <c r="AA35">
        <f>HYPERLINK("https://klasma.github.io/Logging_0583/klagomål/A 72192-2021 FSC-klagomål.docx", "A 72192-2021")</f>
        <v/>
      </c>
      <c r="AB35">
        <f>HYPERLINK("https://klasma.github.io/Logging_0583/klagomålsmail/A 72192-2021 FSC-klagomål mail.docx", "A 72192-2021")</f>
        <v/>
      </c>
      <c r="AC35">
        <f>HYPERLINK("https://klasma.github.io/Logging_0583/tillsyn/A 72192-2021 tillsynsbegäran.docx", "A 72192-2021")</f>
        <v/>
      </c>
      <c r="AD35">
        <f>HYPERLINK("https://klasma.github.io/Logging_0583/tillsynsmail/A 72192-2021 tillsynsbegäran mail.docx", "A 72192-2021")</f>
        <v/>
      </c>
    </row>
    <row r="36" ht="15" customHeight="1">
      <c r="A36" t="inlineStr">
        <is>
          <t>A 72847-2021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44547</v>
      </c>
      <c r="E36" s="1" t="n">
        <v>46279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HYPERLINK("https://klasma.github.io/Logging_0583/artfynd/A 72847-2021 artfynd.xlsx", "A 72847-2021")</f>
        <v/>
      </c>
      <c r="X36">
        <f>HYPERLINK("https://klasma.github.io/Logging_0583/kartor/A 72847-2021 karta.png", "A 72847-2021")</f>
        <v/>
      </c>
      <c r="Y36">
        <f>HYPERLINK("https://klasma.github.io/Logging_0583/kartor_geotiff/A 72847-2021 georefererad karta.tif", "A 72847-2021")</f>
        <v/>
      </c>
      <c r="AA36">
        <f>HYPERLINK("https://klasma.github.io/Logging_0583/klagomål/A 72847-2021 FSC-klagomål.docx", "A 72847-2021")</f>
        <v/>
      </c>
      <c r="AB36">
        <f>HYPERLINK("https://klasma.github.io/Logging_0583/klagomålsmail/A 72847-2021 FSC-klagomål mail.docx", "A 72847-2021")</f>
        <v/>
      </c>
      <c r="AC36">
        <f>HYPERLINK("https://klasma.github.io/Logging_0583/tillsyn/A 72847-2021 tillsynsbegäran.docx", "A 72847-2021")</f>
        <v/>
      </c>
      <c r="AD36">
        <f>HYPERLINK("https://klasma.github.io/Logging_0583/tillsynsmail/A 72847-2021 tillsynsbegäran mail.docx", "A 72847-2021")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46279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52523-2022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44874</v>
      </c>
      <c r="E38" s="1" t="n">
        <v>46279</v>
      </c>
      <c r="F38" t="inlineStr">
        <is>
          <t>ÖSTERGÖTLANDS LÄN</t>
        </is>
      </c>
      <c r="G38" t="inlineStr">
        <is>
          <t>MOTALA</t>
        </is>
      </c>
      <c r="H38" t="inlineStr">
        <is>
          <t>Kyrkan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HYPERLINK("https://klasma.github.io/Logging_0583/artfynd/A 52523-2022 artfynd.xlsx", "A 52523-2022")</f>
        <v/>
      </c>
      <c r="X38">
        <f>HYPERLINK("https://klasma.github.io/Logging_0583/kartor/A 52523-2022 karta.png", "A 52523-2022")</f>
        <v/>
      </c>
      <c r="Y38">
        <f>HYPERLINK("https://klasma.github.io/Logging_0583/kartor_geotiff/A 52523-2022 georefererad karta.tif", "A 52523-2022")</f>
        <v/>
      </c>
      <c r="AA38">
        <f>HYPERLINK("https://klasma.github.io/Logging_0583/klagomål/A 52523-2022 FSC-klagomål.docx", "A 52523-2022")</f>
        <v/>
      </c>
      <c r="AB38">
        <f>HYPERLINK("https://klasma.github.io/Logging_0583/klagomålsmail/A 52523-2022 FSC-klagomål mail.docx", "A 52523-2022")</f>
        <v/>
      </c>
      <c r="AC38">
        <f>HYPERLINK("https://klasma.github.io/Logging_0583/tillsyn/A 52523-2022 tillsynsbegäran.docx", "A 52523-2022")</f>
        <v/>
      </c>
      <c r="AD38">
        <f>HYPERLINK("https://klasma.github.io/Logging_0583/tillsynsmail/A 52523-2022 tillsynsbegäran mail.docx", "A 52523-2022")</f>
        <v/>
      </c>
    </row>
    <row r="39" ht="15" customHeight="1">
      <c r="A39" t="inlineStr">
        <is>
          <t>A 2194-2023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46279</v>
      </c>
      <c r="F39" t="inlineStr">
        <is>
          <t>ÖSTERGÖTLANDS LÄN</t>
        </is>
      </c>
      <c r="G39" t="inlineStr">
        <is>
          <t>MOTALA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Fiskgjuse</t>
        </is>
      </c>
      <c r="W39">
        <f>HYPERLINK("https://klasma.github.io/Logging_0583/artfynd/A 2194-2023 artfynd.xlsx", "A 2194-2023")</f>
        <v/>
      </c>
      <c r="X39">
        <f>HYPERLINK("https://klasma.github.io/Logging_0583/kartor/A 2194-2023 karta.png", "A 2194-2023")</f>
        <v/>
      </c>
      <c r="Y39">
        <f>HYPERLINK("https://klasma.github.io/Logging_0583/kartor_geotiff/A 2194-2023 georefererad karta.tif", "A 2194-2023")</f>
        <v/>
      </c>
      <c r="AA39">
        <f>HYPERLINK("https://klasma.github.io/Logging_0583/klagomål/A 2194-2023 FSC-klagomål.docx", "A 2194-2023")</f>
        <v/>
      </c>
      <c r="AB39">
        <f>HYPERLINK("https://klasma.github.io/Logging_0583/klagomålsmail/A 2194-2023 FSC-klagomål mail.docx", "A 2194-2023")</f>
        <v/>
      </c>
      <c r="AC39">
        <f>HYPERLINK("https://klasma.github.io/Logging_0583/tillsyn/A 2194-2023 tillsynsbegäran.docx", "A 2194-2023")</f>
        <v/>
      </c>
      <c r="AD39">
        <f>HYPERLINK("https://klasma.github.io/Logging_0583/tillsynsmail/A 2194-2023 tillsynsbegäran mail.docx", "A 2194-2023")</f>
        <v/>
      </c>
      <c r="AE39">
        <f>HYPERLINK("https://klasma.github.io/Logging_0583/fåglar/A 2194-2023 prioriterade fågelarter.docx", "A 2194-2023")</f>
        <v/>
      </c>
    </row>
    <row r="40" ht="15" customHeight="1">
      <c r="A40" t="inlineStr">
        <is>
          <t>A 47332-2025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45930</v>
      </c>
      <c r="E40" s="1" t="n">
        <v>46279</v>
      </c>
      <c r="F40" t="inlineStr">
        <is>
          <t>ÖSTERGÖTLANDS LÄN</t>
        </is>
      </c>
      <c r="G40" t="inlineStr">
        <is>
          <t>MOTALA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HYPERLINK("https://klasma.github.io/Logging_0583/artfynd/A 47332-2025 artfynd.xlsx", "A 47332-2025")</f>
        <v/>
      </c>
      <c r="X40">
        <f>HYPERLINK("https://klasma.github.io/Logging_0583/kartor/A 47332-2025 karta.png", "A 47332-2025")</f>
        <v/>
      </c>
      <c r="Y40">
        <f>HYPERLINK("https://klasma.github.io/Logging_0583/kartor_geotiff/A 47332-2025 georefererad karta.tif", "A 47332-2025")</f>
        <v/>
      </c>
      <c r="AA40">
        <f>HYPERLINK("https://klasma.github.io/Logging_0583/klagomål/A 47332-2025 FSC-klagomål.docx", "A 47332-2025")</f>
        <v/>
      </c>
      <c r="AB40">
        <f>HYPERLINK("https://klasma.github.io/Logging_0583/klagomålsmail/A 47332-2025 FSC-klagomål mail.docx", "A 47332-2025")</f>
        <v/>
      </c>
      <c r="AC40">
        <f>HYPERLINK("https://klasma.github.io/Logging_0583/tillsyn/A 47332-2025 tillsynsbegäran.docx", "A 47332-2025")</f>
        <v/>
      </c>
      <c r="AD40">
        <f>HYPERLINK("https://klasma.github.io/Logging_0583/tillsynsmail/A 47332-2025 tillsynsbegäran mail.docx", "A 47332-2025")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46279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HYPERLINK("https://klasma.github.io/Logging_0583/artfynd/A 17739-2026 artfynd.xlsx", "A 17739-2026")</f>
        <v/>
      </c>
      <c r="X41">
        <f>HYPERLINK("https://klasma.github.io/Logging_0583/kartor/A 17739-2026 karta.png", "A 17739-2026")</f>
        <v/>
      </c>
      <c r="Y41">
        <f>HYPERLINK("https://klasma.github.io/Logging_0583/kartor_geotiff/A 17739-2026 georefererad karta.tif", "A 17739-2026")</f>
        <v/>
      </c>
      <c r="AA41">
        <f>HYPERLINK("https://klasma.github.io/Logging_0583/klagomål/A 17739-2026 FSC-klagomål.docx", "A 17739-2026")</f>
        <v/>
      </c>
      <c r="AB41">
        <f>HYPERLINK("https://klasma.github.io/Logging_0583/klagomålsmail/A 17739-2026 FSC-klagomål mail.docx", "A 17739-2026")</f>
        <v/>
      </c>
      <c r="AC41">
        <f>HYPERLINK("https://klasma.github.io/Logging_0583/tillsyn/A 17739-2026 tillsynsbegäran.docx", "A 17739-2026")</f>
        <v/>
      </c>
      <c r="AD41">
        <f>HYPERLINK("https://klasma.github.io/Logging_0583/tillsynsmail/A 17739-2026 tillsynsbegäran mail.docx", "A 17739-2026")</f>
        <v/>
      </c>
      <c r="AE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46279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HYPERLINK("https://klasma.github.io/Logging_0583/artfynd/A 17740-2026 artfynd.xlsx", "A 17740-2026")</f>
        <v/>
      </c>
      <c r="X42">
        <f>HYPERLINK("https://klasma.github.io/Logging_0583/kartor/A 17740-2026 karta.png", "A 17740-2026")</f>
        <v/>
      </c>
      <c r="Y42">
        <f>HYPERLINK("https://klasma.github.io/Logging_0583/kartor_geotiff/A 17740-2026 georefererad karta.tif", "A 17740-2026")</f>
        <v/>
      </c>
      <c r="AA42">
        <f>HYPERLINK("https://klasma.github.io/Logging_0583/klagomål/A 17740-2026 FSC-klagomål.docx", "A 17740-2026")</f>
        <v/>
      </c>
      <c r="AB42">
        <f>HYPERLINK("https://klasma.github.io/Logging_0583/klagomålsmail/A 17740-2026 FSC-klagomål mail.docx", "A 17740-2026")</f>
        <v/>
      </c>
      <c r="AC42">
        <f>HYPERLINK("https://klasma.github.io/Logging_0583/tillsyn/A 17740-2026 tillsynsbegäran.docx", "A 17740-2026")</f>
        <v/>
      </c>
      <c r="AD42">
        <f>HYPERLINK("https://klasma.github.io/Logging_0583/tillsynsmail/A 17740-2026 tillsynsbegäran mail.docx", "A 17740-2026")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46279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46279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Gullklöver</t>
        </is>
      </c>
      <c r="W44">
        <f>HYPERLINK("https://klasma.github.io/Logging_0583/artfynd/A 44814-2025 artfynd.xlsx", "A 44814-2025")</f>
        <v/>
      </c>
      <c r="X44">
        <f>HYPERLINK("https://klasma.github.io/Logging_0583/kartor/A 44814-2025 karta.png", "A 44814-2025")</f>
        <v/>
      </c>
      <c r="Y44">
        <f>HYPERLINK("https://klasma.github.io/Logging_0583/kartor_geotiff/A 44814-2025 georefererad karta.tif", "A 44814-2025")</f>
        <v/>
      </c>
      <c r="AA44">
        <f>HYPERLINK("https://klasma.github.io/Logging_0583/klagomål/A 44814-2025 FSC-klagomål.docx", "A 44814-2025")</f>
        <v/>
      </c>
      <c r="AB44">
        <f>HYPERLINK("https://klasma.github.io/Logging_0583/klagomålsmail/A 44814-2025 FSC-klagomål mail.docx", "A 44814-2025")</f>
        <v/>
      </c>
      <c r="AC44">
        <f>HYPERLINK("https://klasma.github.io/Logging_0583/tillsyn/A 44814-2025 tillsynsbegäran.docx", "A 44814-2025")</f>
        <v/>
      </c>
      <c r="AD44">
        <f>HYPERLINK("https://klasma.github.io/Logging_0583/tillsynsmail/A 44814-2025 tillsynsbegäran mail.docx", "A 44814-2025")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46279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HYPERLINK("https://klasma.github.io/Logging_0583/artfynd/A 18729-2025 artfynd.xlsx", "A 18729-2025")</f>
        <v/>
      </c>
      <c r="X45">
        <f>HYPERLINK("https://klasma.github.io/Logging_0583/kartor/A 18729-2025 karta.png", "A 18729-2025")</f>
        <v/>
      </c>
      <c r="Y45">
        <f>HYPERLINK("https://klasma.github.io/Logging_0583/kartor_geotiff/A 18729-2025 georefererad karta.tif", "A 18729-2025")</f>
        <v/>
      </c>
      <c r="AA45">
        <f>HYPERLINK("https://klasma.github.io/Logging_0583/klagomål/A 18729-2025 FSC-klagomål.docx", "A 18729-2025")</f>
        <v/>
      </c>
      <c r="AB45">
        <f>HYPERLINK("https://klasma.github.io/Logging_0583/klagomålsmail/A 18729-2025 FSC-klagomål mail.docx", "A 18729-2025")</f>
        <v/>
      </c>
      <c r="AC45">
        <f>HYPERLINK("https://klasma.github.io/Logging_0583/tillsyn/A 18729-2025 tillsynsbegäran.docx", "A 18729-2025")</f>
        <v/>
      </c>
      <c r="AD45">
        <f>HYPERLINK("https://klasma.github.io/Logging_0583/tillsynsmail/A 18729-2025 tillsynsbegäran mail.docx", "A 18729-2025")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46279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46279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Vedtrappmossa</t>
        </is>
      </c>
      <c r="W47">
        <f>HYPERLINK("https://klasma.github.io/Logging_0583/artfynd/A 21991-2023 artfynd.xlsx", "A 21991-2023")</f>
        <v/>
      </c>
      <c r="X47">
        <f>HYPERLINK("https://klasma.github.io/Logging_0583/kartor/A 21991-2023 karta.png", "A 21991-2023")</f>
        <v/>
      </c>
      <c r="Y47">
        <f>HYPERLINK("https://klasma.github.io/Logging_0583/kartor_geotiff/A 21991-2023 georefererad karta.tif", "A 21991-2023")</f>
        <v/>
      </c>
      <c r="AA47">
        <f>HYPERLINK("https://klasma.github.io/Logging_0583/klagomål/A 21991-2023 FSC-klagomål.docx", "A 21991-2023")</f>
        <v/>
      </c>
      <c r="AB47">
        <f>HYPERLINK("https://klasma.github.io/Logging_0583/klagomålsmail/A 21991-2023 FSC-klagomål mail.docx", "A 21991-2023")</f>
        <v/>
      </c>
      <c r="AC47">
        <f>HYPERLINK("https://klasma.github.io/Logging_0583/tillsyn/A 21991-2023 tillsynsbegäran.docx", "A 21991-2023")</f>
        <v/>
      </c>
      <c r="AD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46279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46279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46279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46279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46279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46279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46279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46279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46279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1211-2022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44572</v>
      </c>
      <c r="E57" s="1" t="n">
        <v>46279</v>
      </c>
      <c r="F57" t="inlineStr">
        <is>
          <t>ÖSTERGÖTLANDS LÄN</t>
        </is>
      </c>
      <c r="G57" t="inlineStr">
        <is>
          <t>MOTALA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46279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46279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46279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46279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46279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46279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46279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46279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46279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46279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46279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46279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46279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46279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46279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46279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46279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46279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46279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44819</v>
      </c>
      <c r="E77" s="1" t="n">
        <v>46279</v>
      </c>
      <c r="F77" t="inlineStr">
        <is>
          <t>ÖSTERGÖTLANDS LÄN</t>
        </is>
      </c>
      <c r="G77" t="inlineStr">
        <is>
          <t>MOTALA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46279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46279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46279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46279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46279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46279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46279</v>
      </c>
      <c r="F84" t="inlineStr">
        <is>
          <t>ÖSTERGÖTLANDS LÄN</t>
        </is>
      </c>
      <c r="G84" t="inlineStr">
        <is>
          <t>MOTALA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46279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46279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46279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46279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46279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46279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46279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46279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46279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46279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46279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46279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46279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46279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46279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46279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46279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46279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46279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46279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46279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46279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46279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46279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46279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46279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46279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46279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46279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46279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46279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46279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46279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46279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46279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46279</v>
      </c>
      <c r="F120" t="inlineStr">
        <is>
          <t>ÖSTERGÖTLANDS LÄN</t>
        </is>
      </c>
      <c r="G120" t="inlineStr">
        <is>
          <t>MOTALA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46279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46279</v>
      </c>
      <c r="F122" t="inlineStr">
        <is>
          <t>ÖSTERGÖTLANDS LÄN</t>
        </is>
      </c>
      <c r="G122" t="inlineStr">
        <is>
          <t>MOTALA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46279</v>
      </c>
      <c r="F123" t="inlineStr">
        <is>
          <t>ÖSTERGÖTLANDS LÄN</t>
        </is>
      </c>
      <c r="G123" t="inlineStr">
        <is>
          <t>MOTALA</t>
        </is>
      </c>
      <c r="H123" t="inlineStr">
        <is>
          <t>Sveaskog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46279</v>
      </c>
      <c r="F124" t="inlineStr">
        <is>
          <t>ÖSTERGÖTLANDS LÄN</t>
        </is>
      </c>
      <c r="G124" t="inlineStr">
        <is>
          <t>MOTALA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45439</v>
      </c>
      <c r="E125" s="1" t="n">
        <v>46279</v>
      </c>
      <c r="F125" t="inlineStr">
        <is>
          <t>ÖSTERGÖTLANDS LÄN</t>
        </is>
      </c>
      <c r="G125" t="inlineStr">
        <is>
          <t>MOTALA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46279</v>
      </c>
      <c r="F126" t="inlineStr">
        <is>
          <t>ÖSTERGÖTLANDS LÄN</t>
        </is>
      </c>
      <c r="G126" t="inlineStr">
        <is>
          <t>MOTALA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46279</v>
      </c>
      <c r="F127" t="inlineStr">
        <is>
          <t>ÖSTERGÖTLANDS LÄN</t>
        </is>
      </c>
      <c r="G127" t="inlineStr">
        <is>
          <t>MOTALA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45427</v>
      </c>
      <c r="E128" s="1" t="n">
        <v>46279</v>
      </c>
      <c r="F128" t="inlineStr">
        <is>
          <t>ÖSTERGÖTLANDS LÄN</t>
        </is>
      </c>
      <c r="G128" t="inlineStr">
        <is>
          <t>MOTALA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46279</v>
      </c>
      <c r="F129" t="inlineStr">
        <is>
          <t>ÖSTERGÖTLANDS LÄN</t>
        </is>
      </c>
      <c r="G129" t="inlineStr">
        <is>
          <t>MOTALA</t>
        </is>
      </c>
      <c r="H129" t="inlineStr">
        <is>
          <t>Övriga statliga verk och myndigheter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46279</v>
      </c>
      <c r="F130" t="inlineStr">
        <is>
          <t>ÖSTERGÖTLANDS LÄN</t>
        </is>
      </c>
      <c r="G130" t="inlineStr">
        <is>
          <t>MOTALA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45387</v>
      </c>
      <c r="E131" s="1" t="n">
        <v>46279</v>
      </c>
      <c r="F131" t="inlineStr">
        <is>
          <t>ÖSTERGÖTLANDS LÄN</t>
        </is>
      </c>
      <c r="G131" t="inlineStr">
        <is>
          <t>MOTALA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46279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46279</v>
      </c>
      <c r="F133" t="inlineStr">
        <is>
          <t>ÖSTERGÖTLANDS LÄN</t>
        </is>
      </c>
      <c r="G133" t="inlineStr">
        <is>
          <t>MOTALA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46279</v>
      </c>
      <c r="F134" t="inlineStr">
        <is>
          <t>ÖSTERGÖTLANDS LÄN</t>
        </is>
      </c>
      <c r="G134" t="inlineStr">
        <is>
          <t>MOTALA</t>
        </is>
      </c>
      <c r="H134" t="inlineStr">
        <is>
          <t>Sveaskog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46279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46279</v>
      </c>
      <c r="F136" t="inlineStr">
        <is>
          <t>ÖSTERGÖTLANDS LÄN</t>
        </is>
      </c>
      <c r="G136" t="inlineStr">
        <is>
          <t>MOTALA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64175-2023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45279</v>
      </c>
      <c r="E137" s="1" t="n">
        <v>46279</v>
      </c>
      <c r="F137" t="inlineStr">
        <is>
          <t>ÖSTERGÖTLANDS LÄN</t>
        </is>
      </c>
      <c r="G137" t="inlineStr">
        <is>
          <t>MOTALA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46279</v>
      </c>
      <c r="F138" t="inlineStr">
        <is>
          <t>ÖSTERGÖTLANDS LÄN</t>
        </is>
      </c>
      <c r="G138" t="inlineStr">
        <is>
          <t>MOTALA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46279</v>
      </c>
      <c r="F139" t="inlineStr">
        <is>
          <t>ÖSTERGÖTLANDS LÄN</t>
        </is>
      </c>
      <c r="G139" t="inlineStr">
        <is>
          <t>MOTALA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46279</v>
      </c>
      <c r="F140" t="inlineStr">
        <is>
          <t>ÖSTERGÖTLANDS LÄN</t>
        </is>
      </c>
      <c r="G140" t="inlineStr">
        <is>
          <t>MOTALA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46279</v>
      </c>
      <c r="F141" t="inlineStr">
        <is>
          <t>ÖSTERGÖTLANDS LÄN</t>
        </is>
      </c>
      <c r="G141" t="inlineStr">
        <is>
          <t>MOTALA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2197-2023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46279</v>
      </c>
      <c r="F142" t="inlineStr">
        <is>
          <t>ÖSTERGÖTLANDS LÄN</t>
        </is>
      </c>
      <c r="G142" t="inlineStr">
        <is>
          <t>MOTALA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46279</v>
      </c>
      <c r="F143" t="inlineStr">
        <is>
          <t>ÖSTERGÖTLANDS LÄN</t>
        </is>
      </c>
      <c r="G143" t="inlineStr">
        <is>
          <t>MOTALA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44953</v>
      </c>
      <c r="E144" s="1" t="n">
        <v>46279</v>
      </c>
      <c r="F144" t="inlineStr">
        <is>
          <t>ÖSTERGÖTLANDS LÄN</t>
        </is>
      </c>
      <c r="G144" t="inlineStr">
        <is>
          <t>MOTALA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71205-2021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44539</v>
      </c>
      <c r="E145" s="1" t="n">
        <v>46279</v>
      </c>
      <c r="F145" t="inlineStr">
        <is>
          <t>ÖSTERGÖTLANDS LÄN</t>
        </is>
      </c>
      <c r="G145" t="inlineStr">
        <is>
          <t>MOTALA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45202</v>
      </c>
      <c r="E146" s="1" t="n">
        <v>46279</v>
      </c>
      <c r="F146" t="inlineStr">
        <is>
          <t>ÖSTERGÖTLANDS LÄN</t>
        </is>
      </c>
      <c r="G146" t="inlineStr">
        <is>
          <t>MOTALA</t>
        </is>
      </c>
      <c r="I146" t="n">
        <v>17.6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46279</v>
      </c>
      <c r="F147" t="inlineStr">
        <is>
          <t>ÖSTERGÖTLANDS LÄN</t>
        </is>
      </c>
      <c r="G147" t="inlineStr">
        <is>
          <t>MOTALA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45092</v>
      </c>
      <c r="E148" s="1" t="n">
        <v>46279</v>
      </c>
      <c r="F148" t="inlineStr">
        <is>
          <t>ÖSTERGÖTLANDS LÄN</t>
        </is>
      </c>
      <c r="G148" t="inlineStr">
        <is>
          <t>MOTALA</t>
        </is>
      </c>
      <c r="H148" t="inlineStr">
        <is>
          <t>Övriga statliga verk och myndigheter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46279</v>
      </c>
      <c r="F149" t="inlineStr">
        <is>
          <t>ÖSTERGÖTLANDS LÄN</t>
        </is>
      </c>
      <c r="G149" t="inlineStr">
        <is>
          <t>MOTALA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46279</v>
      </c>
      <c r="F150" t="inlineStr">
        <is>
          <t>ÖSTERGÖTLANDS LÄN</t>
        </is>
      </c>
      <c r="G150" t="inlineStr">
        <is>
          <t>MOTALA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46279</v>
      </c>
      <c r="F151" t="inlineStr">
        <is>
          <t>ÖSTERGÖTLANDS LÄN</t>
        </is>
      </c>
      <c r="G151" t="inlineStr">
        <is>
          <t>MOTALA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46279</v>
      </c>
      <c r="F152" t="inlineStr">
        <is>
          <t>ÖSTERGÖTLANDS LÄN</t>
        </is>
      </c>
      <c r="G152" t="inlineStr">
        <is>
          <t>MOTALA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46279</v>
      </c>
      <c r="F153" t="inlineStr">
        <is>
          <t>ÖSTERGÖTLANDS LÄN</t>
        </is>
      </c>
      <c r="G153" t="inlineStr">
        <is>
          <t>MOTALA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46279</v>
      </c>
      <c r="F154" t="inlineStr">
        <is>
          <t>ÖSTERGÖTLANDS LÄN</t>
        </is>
      </c>
      <c r="G154" t="inlineStr">
        <is>
          <t>MOTALA</t>
        </is>
      </c>
      <c r="H154" t="inlineStr">
        <is>
          <t>Sveaskog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46066</v>
      </c>
      <c r="E155" s="1" t="n">
        <v>46279</v>
      </c>
      <c r="F155" t="inlineStr">
        <is>
          <t>ÖSTERGÖTLANDS LÄN</t>
        </is>
      </c>
      <c r="G155" t="inlineStr">
        <is>
          <t>MOTALA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46066</v>
      </c>
      <c r="E156" s="1" t="n">
        <v>46279</v>
      </c>
      <c r="F156" t="inlineStr">
        <is>
          <t>ÖSTERGÖTLANDS LÄN</t>
        </is>
      </c>
      <c r="G156" t="inlineStr">
        <is>
          <t>MOTALA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46279</v>
      </c>
      <c r="F157" t="inlineStr">
        <is>
          <t>ÖSTERGÖTLANDS LÄN</t>
        </is>
      </c>
      <c r="G157" t="inlineStr">
        <is>
          <t>MOTALA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46279</v>
      </c>
      <c r="F158" t="inlineStr">
        <is>
          <t>ÖSTERGÖTLANDS LÄN</t>
        </is>
      </c>
      <c r="G158" t="inlineStr">
        <is>
          <t>MOTALA</t>
        </is>
      </c>
      <c r="H158" t="inlineStr">
        <is>
          <t>Sveaskog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46279</v>
      </c>
      <c r="F159" t="inlineStr">
        <is>
          <t>ÖSTERGÖTLANDS LÄN</t>
        </is>
      </c>
      <c r="G159" t="inlineStr">
        <is>
          <t>MOTALA</t>
        </is>
      </c>
      <c r="H159" t="inlineStr">
        <is>
          <t>Sveaskog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30640-2025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46279</v>
      </c>
      <c r="F160" t="inlineStr">
        <is>
          <t>ÖSTERGÖTLANDS LÄN</t>
        </is>
      </c>
      <c r="G160" t="inlineStr">
        <is>
          <t>MOTALA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46279</v>
      </c>
      <c r="F161" t="inlineStr">
        <is>
          <t>ÖSTERGÖTLANDS LÄN</t>
        </is>
      </c>
      <c r="G161" t="inlineStr">
        <is>
          <t>MOTALA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44931</v>
      </c>
      <c r="E162" s="1" t="n">
        <v>46279</v>
      </c>
      <c r="F162" t="inlineStr">
        <is>
          <t>ÖSTERGÖTLANDS LÄN</t>
        </is>
      </c>
      <c r="G162" t="inlineStr">
        <is>
          <t>MOTALA</t>
        </is>
      </c>
      <c r="H162" t="inlineStr">
        <is>
          <t>Övriga statliga verk och myndigheter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46279</v>
      </c>
      <c r="F163" t="inlineStr">
        <is>
          <t>ÖSTERGÖTLANDS LÄN</t>
        </is>
      </c>
      <c r="G163" t="inlineStr">
        <is>
          <t>MOTALA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46279</v>
      </c>
      <c r="F164" t="inlineStr">
        <is>
          <t>ÖSTERGÖTLANDS LÄN</t>
        </is>
      </c>
      <c r="G164" t="inlineStr">
        <is>
          <t>MOTALA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46279</v>
      </c>
      <c r="F165" t="inlineStr">
        <is>
          <t>ÖSTERGÖTLANDS LÄN</t>
        </is>
      </c>
      <c r="G165" t="inlineStr">
        <is>
          <t>MOTALA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59570-2022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46279</v>
      </c>
      <c r="F166" t="inlineStr">
        <is>
          <t>ÖSTERGÖTLANDS LÄN</t>
        </is>
      </c>
      <c r="G166" t="inlineStr">
        <is>
          <t>MOTALA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46279</v>
      </c>
      <c r="F167" t="inlineStr">
        <is>
          <t>ÖSTERGÖTLANDS LÄN</t>
        </is>
      </c>
      <c r="G167" t="inlineStr">
        <is>
          <t>MOTALA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46279</v>
      </c>
      <c r="F168" t="inlineStr">
        <is>
          <t>ÖSTERGÖTLANDS LÄN</t>
        </is>
      </c>
      <c r="G168" t="inlineStr">
        <is>
          <t>MOTALA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46279</v>
      </c>
      <c r="F169" t="inlineStr">
        <is>
          <t>ÖSTERGÖTLANDS LÄN</t>
        </is>
      </c>
      <c r="G169" t="inlineStr">
        <is>
          <t>MOTALA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44951</v>
      </c>
      <c r="E170" s="1" t="n">
        <v>46279</v>
      </c>
      <c r="F170" t="inlineStr">
        <is>
          <t>ÖSTERGÖTLANDS LÄN</t>
        </is>
      </c>
      <c r="G170" t="inlineStr">
        <is>
          <t>MOTALA</t>
        </is>
      </c>
      <c r="H170" t="inlineStr">
        <is>
          <t>Holmen skog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27896-2025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45817</v>
      </c>
      <c r="E171" s="1" t="n">
        <v>46279</v>
      </c>
      <c r="F171" t="inlineStr">
        <is>
          <t>ÖSTERGÖTLANDS LÄN</t>
        </is>
      </c>
      <c r="G171" t="inlineStr">
        <is>
          <t>MOTALA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46279</v>
      </c>
      <c r="F172" t="inlineStr">
        <is>
          <t>ÖSTERGÖTLANDS LÄN</t>
        </is>
      </c>
      <c r="G172" t="inlineStr">
        <is>
          <t>MOTALA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46279</v>
      </c>
      <c r="F173" t="inlineStr">
        <is>
          <t>ÖSTERGÖTLANDS LÄN</t>
        </is>
      </c>
      <c r="G173" t="inlineStr">
        <is>
          <t>MOTALA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44911</v>
      </c>
      <c r="E174" s="1" t="n">
        <v>46279</v>
      </c>
      <c r="F174" t="inlineStr">
        <is>
          <t>ÖSTERGÖTLANDS LÄN</t>
        </is>
      </c>
      <c r="G174" t="inlineStr">
        <is>
          <t>MOTALA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44679</v>
      </c>
      <c r="E175" s="1" t="n">
        <v>46279</v>
      </c>
      <c r="F175" t="inlineStr">
        <is>
          <t>ÖSTERGÖTLANDS LÄN</t>
        </is>
      </c>
      <c r="G175" t="inlineStr">
        <is>
          <t>MOTALA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46279</v>
      </c>
      <c r="F176" t="inlineStr">
        <is>
          <t>ÖSTERGÖTLANDS LÄN</t>
        </is>
      </c>
      <c r="G176" t="inlineStr">
        <is>
          <t>MOTALA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46279</v>
      </c>
      <c r="F177" t="inlineStr">
        <is>
          <t>ÖSTERGÖTLANDS LÄN</t>
        </is>
      </c>
      <c r="G177" t="inlineStr">
        <is>
          <t>MOTALA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46279</v>
      </c>
      <c r="F178" t="inlineStr">
        <is>
          <t>ÖSTERGÖTLANDS LÄN</t>
        </is>
      </c>
      <c r="G178" t="inlineStr">
        <is>
          <t>MOTALA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46279</v>
      </c>
      <c r="F179" t="inlineStr">
        <is>
          <t>ÖSTERGÖTLANDS LÄN</t>
        </is>
      </c>
      <c r="G179" t="inlineStr">
        <is>
          <t>MOTALA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46279</v>
      </c>
      <c r="F180" t="inlineStr">
        <is>
          <t>ÖSTERGÖTLANDS LÄN</t>
        </is>
      </c>
      <c r="G180" t="inlineStr">
        <is>
          <t>MOTALA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51762-2024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45607</v>
      </c>
      <c r="E181" s="1" t="n">
        <v>46279</v>
      </c>
      <c r="F181" t="inlineStr">
        <is>
          <t>ÖSTERGÖTLANDS LÄN</t>
        </is>
      </c>
      <c r="G181" t="inlineStr">
        <is>
          <t>MOTALA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46279</v>
      </c>
      <c r="F182" t="inlineStr">
        <is>
          <t>ÖSTERGÖTLANDS LÄN</t>
        </is>
      </c>
      <c r="G182" t="inlineStr">
        <is>
          <t>MOTALA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46279</v>
      </c>
      <c r="F183" t="inlineStr">
        <is>
          <t>ÖSTERGÖTLANDS LÄN</t>
        </is>
      </c>
      <c r="G183" t="inlineStr">
        <is>
          <t>MOTALA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10510-2026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46077</v>
      </c>
      <c r="E184" s="1" t="n">
        <v>46279</v>
      </c>
      <c r="F184" t="inlineStr">
        <is>
          <t>ÖSTERGÖTLANDS LÄN</t>
        </is>
      </c>
      <c r="G184" t="inlineStr">
        <is>
          <t>MOTALA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46279</v>
      </c>
      <c r="F185" t="inlineStr">
        <is>
          <t>ÖSTERGÖTLANDS LÄN</t>
        </is>
      </c>
      <c r="G185" t="inlineStr">
        <is>
          <t>MOTALA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45575</v>
      </c>
      <c r="E186" s="1" t="n">
        <v>46279</v>
      </c>
      <c r="F186" t="inlineStr">
        <is>
          <t>ÖSTERGÖTLANDS LÄN</t>
        </is>
      </c>
      <c r="G186" t="inlineStr">
        <is>
          <t>MOTALA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46279</v>
      </c>
      <c r="F187" t="inlineStr">
        <is>
          <t>ÖSTERGÖTLANDS LÄN</t>
        </is>
      </c>
      <c r="G187" t="inlineStr">
        <is>
          <t>MOTALA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46279</v>
      </c>
      <c r="F188" t="inlineStr">
        <is>
          <t>ÖSTERGÖTLANDS LÄN</t>
        </is>
      </c>
      <c r="G188" t="inlineStr">
        <is>
          <t>MOTALA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44952</v>
      </c>
      <c r="E189" s="1" t="n">
        <v>46279</v>
      </c>
      <c r="F189" t="inlineStr">
        <is>
          <t>ÖSTERGÖTLANDS LÄN</t>
        </is>
      </c>
      <c r="G189" t="inlineStr">
        <is>
          <t>MOTALA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46279</v>
      </c>
      <c r="F190" t="inlineStr">
        <is>
          <t>ÖSTERGÖTLANDS LÄN</t>
        </is>
      </c>
      <c r="G190" t="inlineStr">
        <is>
          <t>MOTALA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46279</v>
      </c>
      <c r="F191" t="inlineStr">
        <is>
          <t>ÖSTERGÖTLANDS LÄN</t>
        </is>
      </c>
      <c r="G191" t="inlineStr">
        <is>
          <t>MOTALA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60682-2024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45644</v>
      </c>
      <c r="E192" s="1" t="n">
        <v>46279</v>
      </c>
      <c r="F192" t="inlineStr">
        <is>
          <t>ÖSTERGÖTLANDS LÄN</t>
        </is>
      </c>
      <c r="G192" t="inlineStr">
        <is>
          <t>MOTALA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46279</v>
      </c>
      <c r="F193" t="inlineStr">
        <is>
          <t>ÖSTERGÖTLANDS LÄN</t>
        </is>
      </c>
      <c r="G193" t="inlineStr">
        <is>
          <t>MOTALA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46279</v>
      </c>
      <c r="F194" t="inlineStr">
        <is>
          <t>ÖSTERGÖTLANDS LÄN</t>
        </is>
      </c>
      <c r="G194" t="inlineStr">
        <is>
          <t>MOTALA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46279</v>
      </c>
      <c r="F195" t="inlineStr">
        <is>
          <t>ÖSTERGÖTLANDS LÄN</t>
        </is>
      </c>
      <c r="G195" t="inlineStr">
        <is>
          <t>MOTALA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62556-2021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44503</v>
      </c>
      <c r="E196" s="1" t="n">
        <v>46279</v>
      </c>
      <c r="F196" t="inlineStr">
        <is>
          <t>ÖSTERGÖTLANDS LÄN</t>
        </is>
      </c>
      <c r="G196" t="inlineStr">
        <is>
          <t>MOTALA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46279</v>
      </c>
      <c r="F197" t="inlineStr">
        <is>
          <t>ÖSTERGÖTLANDS LÄN</t>
        </is>
      </c>
      <c r="G197" t="inlineStr">
        <is>
          <t>MOTALA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46279</v>
      </c>
      <c r="F198" t="inlineStr">
        <is>
          <t>ÖSTERGÖTLANDS LÄN</t>
        </is>
      </c>
      <c r="G198" t="inlineStr">
        <is>
          <t>MOTALA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46279</v>
      </c>
      <c r="F199" t="inlineStr">
        <is>
          <t>ÖSTERGÖTLANDS LÄN</t>
        </is>
      </c>
      <c r="G199" t="inlineStr">
        <is>
          <t>MOTALA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46279</v>
      </c>
      <c r="F200" t="inlineStr">
        <is>
          <t>ÖSTERGÖTLANDS LÄN</t>
        </is>
      </c>
      <c r="G200" t="inlineStr">
        <is>
          <t>MOTALA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46279</v>
      </c>
      <c r="F201" t="inlineStr">
        <is>
          <t>ÖSTERGÖTLANDS LÄN</t>
        </is>
      </c>
      <c r="G201" t="inlineStr">
        <is>
          <t>MOTALA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49627-2021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44455</v>
      </c>
      <c r="E202" s="1" t="n">
        <v>46279</v>
      </c>
      <c r="F202" t="inlineStr">
        <is>
          <t>ÖSTERGÖTLANDS LÄN</t>
        </is>
      </c>
      <c r="G202" t="inlineStr">
        <is>
          <t>MOTALA</t>
        </is>
      </c>
      <c r="I202" t="n">
        <v>14.2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46279</v>
      </c>
      <c r="F203" t="inlineStr">
        <is>
          <t>ÖSTERGÖTLANDS LÄN</t>
        </is>
      </c>
      <c r="G203" t="inlineStr">
        <is>
          <t>MOTALA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46279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46279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12434-2023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44999</v>
      </c>
      <c r="E206" s="1" t="n">
        <v>46279</v>
      </c>
      <c r="F206" t="inlineStr">
        <is>
          <t>ÖSTERGÖTLANDS LÄN</t>
        </is>
      </c>
      <c r="G206" t="inlineStr">
        <is>
          <t>MOTALA</t>
        </is>
      </c>
      <c r="H206" t="inlineStr">
        <is>
          <t>Allmännings- och besparingsskogar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45939</v>
      </c>
      <c r="E207" s="1" t="n">
        <v>46279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46279</v>
      </c>
      <c r="F208" t="inlineStr">
        <is>
          <t>ÖSTERGÖTLANDS LÄN</t>
        </is>
      </c>
      <c r="G208" t="inlineStr">
        <is>
          <t>MOTALA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45614</v>
      </c>
      <c r="E209" s="1" t="n">
        <v>46279</v>
      </c>
      <c r="F209" t="inlineStr">
        <is>
          <t>ÖSTERGÖTLANDS LÄN</t>
        </is>
      </c>
      <c r="G209" t="inlineStr">
        <is>
          <t>MOTALA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46279</v>
      </c>
      <c r="F210" t="inlineStr">
        <is>
          <t>ÖSTERGÖTLANDS LÄN</t>
        </is>
      </c>
      <c r="G210" t="inlineStr">
        <is>
          <t>MOTALA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46091</v>
      </c>
      <c r="E211" s="1" t="n">
        <v>46279</v>
      </c>
      <c r="F211" t="inlineStr">
        <is>
          <t>ÖSTERGÖTLANDS LÄN</t>
        </is>
      </c>
      <c r="G211" t="inlineStr">
        <is>
          <t>MOTALA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46091</v>
      </c>
      <c r="E212" s="1" t="n">
        <v>46279</v>
      </c>
      <c r="F212" t="inlineStr">
        <is>
          <t>ÖSTERGÖTLANDS LÄN</t>
        </is>
      </c>
      <c r="G212" t="inlineStr">
        <is>
          <t>MOTALA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46091</v>
      </c>
      <c r="E213" s="1" t="n">
        <v>46279</v>
      </c>
      <c r="F213" t="inlineStr">
        <is>
          <t>ÖSTERGÖTLANDS LÄN</t>
        </is>
      </c>
      <c r="G213" t="inlineStr">
        <is>
          <t>MOTALA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38878-2023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46279</v>
      </c>
      <c r="F214" t="inlineStr">
        <is>
          <t>ÖSTERGÖTLANDS LÄN</t>
        </is>
      </c>
      <c r="G214" t="inlineStr">
        <is>
          <t>MOTALA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12968-2026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46092</v>
      </c>
      <c r="E215" s="1" t="n">
        <v>46279</v>
      </c>
      <c r="F215" t="inlineStr">
        <is>
          <t>ÖSTERGÖTLANDS LÄN</t>
        </is>
      </c>
      <c r="G215" t="inlineStr">
        <is>
          <t>MOTALA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46279</v>
      </c>
      <c r="F216" t="inlineStr">
        <is>
          <t>ÖSTERGÖTLANDS LÄN</t>
        </is>
      </c>
      <c r="G216" t="inlineStr">
        <is>
          <t>MOTALA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46279</v>
      </c>
      <c r="F217" t="inlineStr">
        <is>
          <t>ÖSTERGÖTLANDS LÄN</t>
        </is>
      </c>
      <c r="G217" t="inlineStr">
        <is>
          <t>MOTALA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46279</v>
      </c>
      <c r="F218" t="inlineStr">
        <is>
          <t>ÖSTERGÖTLANDS LÄN</t>
        </is>
      </c>
      <c r="G218" t="inlineStr">
        <is>
          <t>MOTALA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44782</v>
      </c>
      <c r="E219" s="1" t="n">
        <v>46279</v>
      </c>
      <c r="F219" t="inlineStr">
        <is>
          <t>ÖSTERGÖTLANDS LÄN</t>
        </is>
      </c>
      <c r="G219" t="inlineStr">
        <is>
          <t>MOTALA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46279</v>
      </c>
      <c r="F220" t="inlineStr">
        <is>
          <t>ÖSTERGÖTLANDS LÄN</t>
        </is>
      </c>
      <c r="G220" t="inlineStr">
        <is>
          <t>MOTALA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46279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46094</v>
      </c>
      <c r="E222" s="1" t="n">
        <v>46279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46279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46094</v>
      </c>
      <c r="E224" s="1" t="n">
        <v>46279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46279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12.9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46279</v>
      </c>
      <c r="F226" t="inlineStr">
        <is>
          <t>ÖSTERGÖTLANDS LÄN</t>
        </is>
      </c>
      <c r="G226" t="inlineStr">
        <is>
          <t>MOTALA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46279</v>
      </c>
      <c r="F227" t="inlineStr">
        <is>
          <t>ÖSTERGÖTLANDS LÄN</t>
        </is>
      </c>
      <c r="G227" t="inlineStr">
        <is>
          <t>MOTALA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46105</v>
      </c>
      <c r="E228" s="1" t="n">
        <v>46279</v>
      </c>
      <c r="F228" t="inlineStr">
        <is>
          <t>ÖSTERGÖTLANDS LÄN</t>
        </is>
      </c>
      <c r="G228" t="inlineStr">
        <is>
          <t>MOTALA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46279</v>
      </c>
      <c r="F229" t="inlineStr">
        <is>
          <t>ÖSTERGÖTLANDS LÄN</t>
        </is>
      </c>
      <c r="G229" t="inlineStr">
        <is>
          <t>MOTALA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46279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15551-2026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46106</v>
      </c>
      <c r="E231" s="1" t="n">
        <v>46279</v>
      </c>
      <c r="F231" t="inlineStr">
        <is>
          <t>ÖSTERGÖTLANDS LÄN</t>
        </is>
      </c>
      <c r="G231" t="inlineStr">
        <is>
          <t>MOTALA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46279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40528-2022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44819</v>
      </c>
      <c r="E233" s="1" t="n">
        <v>46279</v>
      </c>
      <c r="F233" t="inlineStr">
        <is>
          <t>ÖSTERGÖTLANDS LÄN</t>
        </is>
      </c>
      <c r="G233" t="inlineStr">
        <is>
          <t>MOTALA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46279</v>
      </c>
      <c r="F234" t="inlineStr">
        <is>
          <t>ÖSTERGÖTLANDS LÄN</t>
        </is>
      </c>
      <c r="G234" t="inlineStr">
        <is>
          <t>MOTALA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46279</v>
      </c>
      <c r="F235" t="inlineStr">
        <is>
          <t>ÖSTERGÖTLANDS LÄN</t>
        </is>
      </c>
      <c r="G235" t="inlineStr">
        <is>
          <t>MOTALA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46279</v>
      </c>
      <c r="F236" t="inlineStr">
        <is>
          <t>ÖSTERGÖTLANDS LÄN</t>
        </is>
      </c>
      <c r="G236" t="inlineStr">
        <is>
          <t>MOTALA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46279</v>
      </c>
      <c r="F237" t="inlineStr">
        <is>
          <t>ÖSTERGÖTLANDS LÄN</t>
        </is>
      </c>
      <c r="G237" t="inlineStr">
        <is>
          <t>MOTALA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9081-2022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44615</v>
      </c>
      <c r="E238" s="1" t="n">
        <v>46279</v>
      </c>
      <c r="F238" t="inlineStr">
        <is>
          <t>ÖSTERGÖTLANDS LÄN</t>
        </is>
      </c>
      <c r="G238" t="inlineStr">
        <is>
          <t>MOTALA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46279</v>
      </c>
      <c r="F239" t="inlineStr">
        <is>
          <t>ÖSTERGÖTLANDS LÄN</t>
        </is>
      </c>
      <c r="G239" t="inlineStr">
        <is>
          <t>MOTALA</t>
        </is>
      </c>
      <c r="H239" t="inlineStr">
        <is>
          <t>Övriga statliga verk och myndigheter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46122</v>
      </c>
      <c r="E240" s="1" t="n">
        <v>46279</v>
      </c>
      <c r="F240" t="inlineStr">
        <is>
          <t>ÖSTERGÖTLANDS LÄN</t>
        </is>
      </c>
      <c r="G240" t="inlineStr">
        <is>
          <t>MOTALA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45243</v>
      </c>
      <c r="E241" s="1" t="n">
        <v>46279</v>
      </c>
      <c r="F241" t="inlineStr">
        <is>
          <t>ÖSTERGÖTLANDS LÄN</t>
        </is>
      </c>
      <c r="G241" t="inlineStr">
        <is>
          <t>MOTALA</t>
        </is>
      </c>
      <c r="H241" t="inlineStr">
        <is>
          <t>Övriga statliga verk och myndigheter</t>
        </is>
      </c>
      <c r="I241" t="n">
        <v>24.8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46279</v>
      </c>
      <c r="F242" t="inlineStr">
        <is>
          <t>ÖSTERGÖTLANDS LÄN</t>
        </is>
      </c>
      <c r="G242" t="inlineStr">
        <is>
          <t>MOTALA</t>
        </is>
      </c>
      <c r="H242" t="inlineStr">
        <is>
          <t>Övriga statliga verk och myndigheter</t>
        </is>
      </c>
      <c r="I242" t="n">
        <v>12.2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46279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46279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11.6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19110-2026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46279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54125-2022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46279</v>
      </c>
      <c r="F246" t="inlineStr">
        <is>
          <t>ÖSTERGÖTLANDS LÄN</t>
        </is>
      </c>
      <c r="G246" t="inlineStr">
        <is>
          <t>MOTALA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44890</v>
      </c>
      <c r="E247" s="1" t="n">
        <v>46279</v>
      </c>
      <c r="F247" t="inlineStr">
        <is>
          <t>ÖSTERGÖTLANDS LÄN</t>
        </is>
      </c>
      <c r="G247" t="inlineStr">
        <is>
          <t>MOTALA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44750</v>
      </c>
      <c r="E248" s="1" t="n">
        <v>46279</v>
      </c>
      <c r="F248" t="inlineStr">
        <is>
          <t>ÖSTERGÖTLANDS LÄN</t>
        </is>
      </c>
      <c r="G248" t="inlineStr">
        <is>
          <t>MOTALA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45998</v>
      </c>
      <c r="E249" s="1" t="n">
        <v>46279</v>
      </c>
      <c r="F249" t="inlineStr">
        <is>
          <t>ÖSTERGÖTLANDS LÄN</t>
        </is>
      </c>
      <c r="G249" t="inlineStr">
        <is>
          <t>MOTALA</t>
        </is>
      </c>
      <c r="I249" t="n">
        <v>15.9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53491-2022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44879</v>
      </c>
      <c r="E250" s="1" t="n">
        <v>46279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46279</v>
      </c>
      <c r="F251" t="inlineStr">
        <is>
          <t>ÖSTERGÖTLANDS LÄN</t>
        </is>
      </c>
      <c r="G251" t="inlineStr">
        <is>
          <t>MOTALA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46279</v>
      </c>
      <c r="F252" t="inlineStr">
        <is>
          <t>ÖSTERGÖTLANDS LÄN</t>
        </is>
      </c>
      <c r="G252" t="inlineStr">
        <is>
          <t>MOTALA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46279</v>
      </c>
      <c r="F253" t="inlineStr">
        <is>
          <t>ÖSTERGÖTLANDS LÄN</t>
        </is>
      </c>
      <c r="G253" t="inlineStr">
        <is>
          <t>MOTALA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46279</v>
      </c>
      <c r="F254" t="inlineStr">
        <is>
          <t>ÖSTERGÖTLANDS LÄN</t>
        </is>
      </c>
      <c r="G254" t="inlineStr">
        <is>
          <t>MOTALA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45880</v>
      </c>
      <c r="E255" s="1" t="n">
        <v>46279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45183</v>
      </c>
      <c r="E256" s="1" t="n">
        <v>46279</v>
      </c>
      <c r="F256" t="inlineStr">
        <is>
          <t>ÖSTERGÖTLANDS LÄN</t>
        </is>
      </c>
      <c r="G256" t="inlineStr">
        <is>
          <t>MOTALA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52385-2025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46279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44998</v>
      </c>
      <c r="E258" s="1" t="n">
        <v>46279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46279</v>
      </c>
      <c r="F259" t="inlineStr">
        <is>
          <t>ÖSTERGÖTLANDS LÄN</t>
        </is>
      </c>
      <c r="G259" t="inlineStr">
        <is>
          <t>MOTALA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46279</v>
      </c>
      <c r="F260" t="inlineStr">
        <is>
          <t>ÖSTERGÖTLANDS LÄN</t>
        </is>
      </c>
      <c r="G260" t="inlineStr">
        <is>
          <t>MOTALA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46279</v>
      </c>
      <c r="F261" t="inlineStr">
        <is>
          <t>ÖSTERGÖTLANDS LÄN</t>
        </is>
      </c>
      <c r="G261" t="inlineStr">
        <is>
          <t>MOTALA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46279</v>
      </c>
      <c r="F262" t="inlineStr">
        <is>
          <t>ÖSTERGÖTLANDS LÄN</t>
        </is>
      </c>
      <c r="G262" t="inlineStr">
        <is>
          <t>MOTALA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46279</v>
      </c>
      <c r="F263" t="inlineStr">
        <is>
          <t>ÖSTERGÖTLANDS LÄN</t>
        </is>
      </c>
      <c r="G263" t="inlineStr">
        <is>
          <t>MOTALA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44676</v>
      </c>
      <c r="E264" s="1" t="n">
        <v>46279</v>
      </c>
      <c r="F264" t="inlineStr">
        <is>
          <t>ÖSTERGÖTLANDS LÄN</t>
        </is>
      </c>
      <c r="G264" t="inlineStr">
        <is>
          <t>MOTALA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46279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44628</v>
      </c>
      <c r="E266" s="1" t="n">
        <v>46279</v>
      </c>
      <c r="F266" t="inlineStr">
        <is>
          <t>ÖSTERGÖTLANDS LÄN</t>
        </is>
      </c>
      <c r="G266" t="inlineStr">
        <is>
          <t>MOTALA</t>
        </is>
      </c>
      <c r="H266" t="inlineStr">
        <is>
          <t>Allmännings- och besparingsskogar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45111</v>
      </c>
      <c r="E267" s="1" t="n">
        <v>46279</v>
      </c>
      <c r="F267" t="inlineStr">
        <is>
          <t>ÖSTERGÖTLANDS LÄN</t>
        </is>
      </c>
      <c r="G267" t="inlineStr">
        <is>
          <t>MOTALA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45839</v>
      </c>
      <c r="E268" s="1" t="n">
        <v>46279</v>
      </c>
      <c r="F268" t="inlineStr">
        <is>
          <t>ÖSTERGÖTLANDS LÄN</t>
        </is>
      </c>
      <c r="G268" t="inlineStr">
        <is>
          <t>MOTALA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50248-2022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44865</v>
      </c>
      <c r="E269" s="1" t="n">
        <v>46279</v>
      </c>
      <c r="F269" t="inlineStr">
        <is>
          <t>ÖSTERGÖTLANDS LÄN</t>
        </is>
      </c>
      <c r="G269" t="inlineStr">
        <is>
          <t>MOTALA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46279</v>
      </c>
      <c r="F270" t="inlineStr">
        <is>
          <t>ÖSTERGÖTLANDS LÄN</t>
        </is>
      </c>
      <c r="G270" t="inlineStr">
        <is>
          <t>MOTALA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46279</v>
      </c>
      <c r="F271" t="inlineStr">
        <is>
          <t>ÖSTERGÖTLANDS LÄN</t>
        </is>
      </c>
      <c r="G271" t="inlineStr">
        <is>
          <t>MOTALA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45029</v>
      </c>
      <c r="E272" s="1" t="n">
        <v>46279</v>
      </c>
      <c r="F272" t="inlineStr">
        <is>
          <t>ÖSTERGÖTLANDS LÄN</t>
        </is>
      </c>
      <c r="G272" t="inlineStr">
        <is>
          <t>MOTALA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46279</v>
      </c>
      <c r="F273" t="inlineStr">
        <is>
          <t>ÖSTERGÖTLANDS LÄN</t>
        </is>
      </c>
      <c r="G273" t="inlineStr">
        <is>
          <t>MOTALA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46279</v>
      </c>
      <c r="F274" t="inlineStr">
        <is>
          <t>ÖSTERGÖTLANDS LÄN</t>
        </is>
      </c>
      <c r="G274" t="inlineStr">
        <is>
          <t>MOTALA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65561-2021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44516</v>
      </c>
      <c r="E275" s="1" t="n">
        <v>46279</v>
      </c>
      <c r="F275" t="inlineStr">
        <is>
          <t>ÖSTERGÖTLANDS LÄN</t>
        </is>
      </c>
      <c r="G275" t="inlineStr">
        <is>
          <t>MOTALA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46279</v>
      </c>
      <c r="F276" t="inlineStr">
        <is>
          <t>ÖSTERGÖTLANDS LÄN</t>
        </is>
      </c>
      <c r="G276" t="inlineStr">
        <is>
          <t>MOTALA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46061</v>
      </c>
      <c r="E277" s="1" t="n">
        <v>46279</v>
      </c>
      <c r="F277" t="inlineStr">
        <is>
          <t>ÖSTERGÖTLANDS LÄN</t>
        </is>
      </c>
      <c r="G277" t="inlineStr">
        <is>
          <t>MOTALA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44984</v>
      </c>
      <c r="E278" s="1" t="n">
        <v>46279</v>
      </c>
      <c r="F278" t="inlineStr">
        <is>
          <t>ÖSTERGÖTLANDS LÄN</t>
        </is>
      </c>
      <c r="G278" t="inlineStr">
        <is>
          <t>MOTALA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20815-2026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46141</v>
      </c>
      <c r="E279" s="1" t="n">
        <v>46279</v>
      </c>
      <c r="F279" t="inlineStr">
        <is>
          <t>ÖSTERGÖTLANDS LÄN</t>
        </is>
      </c>
      <c r="G279" t="inlineStr">
        <is>
          <t>MOTALA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46142</v>
      </c>
      <c r="E280" s="1" t="n">
        <v>46279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44987</v>
      </c>
      <c r="E281" s="1" t="n">
        <v>46279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45173</v>
      </c>
      <c r="E282" s="1" t="n">
        <v>46279</v>
      </c>
      <c r="F282" t="inlineStr">
        <is>
          <t>ÖSTERGÖTLANDS LÄN</t>
        </is>
      </c>
      <c r="G282" t="inlineStr">
        <is>
          <t>MOTALA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46279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20.4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45602</v>
      </c>
      <c r="E284" s="1" t="n">
        <v>46279</v>
      </c>
      <c r="F284" t="inlineStr">
        <is>
          <t>ÖSTERGÖTLANDS LÄN</t>
        </is>
      </c>
      <c r="G284" t="inlineStr">
        <is>
          <t>MOTALA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46279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45343</v>
      </c>
      <c r="E286" s="1" t="n">
        <v>46279</v>
      </c>
      <c r="F286" t="inlineStr">
        <is>
          <t>ÖSTERGÖTLANDS LÄN</t>
        </is>
      </c>
      <c r="G286" t="inlineStr">
        <is>
          <t>MOTALA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46279</v>
      </c>
      <c r="F287" t="inlineStr">
        <is>
          <t>ÖSTERGÖTLANDS LÄN</t>
        </is>
      </c>
      <c r="G287" t="inlineStr">
        <is>
          <t>MOTALA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46279</v>
      </c>
      <c r="F288" t="inlineStr">
        <is>
          <t>ÖSTERGÖTLANDS LÄN</t>
        </is>
      </c>
      <c r="G288" t="inlineStr">
        <is>
          <t>MOTALA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43995-2023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46279</v>
      </c>
      <c r="F289" t="inlineStr">
        <is>
          <t>ÖSTERGÖTLANDS LÄN</t>
        </is>
      </c>
      <c r="G289" t="inlineStr">
        <is>
          <t>MOTALA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45377</v>
      </c>
      <c r="E290" s="1" t="n">
        <v>46279</v>
      </c>
      <c r="F290" t="inlineStr">
        <is>
          <t>ÖSTERGÖTLANDS LÄN</t>
        </is>
      </c>
      <c r="G290" t="inlineStr">
        <is>
          <t>MOTALA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45439</v>
      </c>
      <c r="E291" s="1" t="n">
        <v>46279</v>
      </c>
      <c r="F291" t="inlineStr">
        <is>
          <t>ÖSTERGÖTLANDS LÄN</t>
        </is>
      </c>
      <c r="G291" t="inlineStr">
        <is>
          <t>MOTALA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27410-2024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45473</v>
      </c>
      <c r="E292" s="1" t="n">
        <v>46279</v>
      </c>
      <c r="F292" t="inlineStr">
        <is>
          <t>ÖSTERGÖTLANDS LÄN</t>
        </is>
      </c>
      <c r="G292" t="inlineStr">
        <is>
          <t>MOTALA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45099-2023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46279</v>
      </c>
      <c r="F293" t="inlineStr">
        <is>
          <t>ÖSTERGÖTLANDS LÄN</t>
        </is>
      </c>
      <c r="G293" t="inlineStr">
        <is>
          <t>MOTALA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13422-2022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44645</v>
      </c>
      <c r="E294" s="1" t="n">
        <v>46279</v>
      </c>
      <c r="F294" t="inlineStr">
        <is>
          <t>ÖSTERGÖTLANDS LÄN</t>
        </is>
      </c>
      <c r="G294" t="inlineStr">
        <is>
          <t>MOTALA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46279</v>
      </c>
      <c r="F295" t="inlineStr">
        <is>
          <t>ÖSTERGÖTLANDS LÄN</t>
        </is>
      </c>
      <c r="G295" t="inlineStr">
        <is>
          <t>MOTALA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46279</v>
      </c>
      <c r="F296" t="inlineStr">
        <is>
          <t>ÖSTERGÖTLANDS LÄN</t>
        </is>
      </c>
      <c r="G296" t="inlineStr">
        <is>
          <t>MOTALA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46160</v>
      </c>
      <c r="E297" s="1" t="n">
        <v>46279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45351</v>
      </c>
      <c r="E298" s="1" t="n">
        <v>46279</v>
      </c>
      <c r="F298" t="inlineStr">
        <is>
          <t>ÖSTERGÖTLANDS LÄN</t>
        </is>
      </c>
      <c r="G298" t="inlineStr">
        <is>
          <t>MOTALA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22795-2026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46158</v>
      </c>
      <c r="E299" s="1" t="n">
        <v>46279</v>
      </c>
      <c r="F299" t="inlineStr">
        <is>
          <t>ÖSTERGÖTLANDS LÄN</t>
        </is>
      </c>
      <c r="G299" t="inlineStr">
        <is>
          <t>MOTALA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45597</v>
      </c>
      <c r="E300" s="1" t="n">
        <v>46279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45624</v>
      </c>
      <c r="E301" s="1" t="n">
        <v>46279</v>
      </c>
      <c r="F301" t="inlineStr">
        <is>
          <t>ÖSTERGÖTLANDS LÄN</t>
        </is>
      </c>
      <c r="G301" t="inlineStr">
        <is>
          <t>MOTALA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46279</v>
      </c>
      <c r="F302" t="inlineStr">
        <is>
          <t>ÖSTERGÖTLANDS LÄN</t>
        </is>
      </c>
      <c r="G302" t="inlineStr">
        <is>
          <t>MOTALA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22940-2026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46160</v>
      </c>
      <c r="E303" s="1" t="n">
        <v>46279</v>
      </c>
      <c r="F303" t="inlineStr">
        <is>
          <t>ÖSTERGÖTLANDS LÄN</t>
        </is>
      </c>
      <c r="G303" t="inlineStr">
        <is>
          <t>MOTALA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43368-2023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45183</v>
      </c>
      <c r="E304" s="1" t="n">
        <v>46279</v>
      </c>
      <c r="F304" t="inlineStr">
        <is>
          <t>ÖSTERGÖTLANDS LÄN</t>
        </is>
      </c>
      <c r="G304" t="inlineStr">
        <is>
          <t>MOTALA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46279</v>
      </c>
      <c r="F305" t="inlineStr">
        <is>
          <t>ÖSTERGÖTLANDS LÄN</t>
        </is>
      </c>
      <c r="G305" t="inlineStr">
        <is>
          <t>MOTALA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46160</v>
      </c>
      <c r="E306" s="1" t="n">
        <v>46279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17.1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45621</v>
      </c>
      <c r="E307" s="1" t="n">
        <v>46279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52302-2023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45224</v>
      </c>
      <c r="E308" s="1" t="n">
        <v>46279</v>
      </c>
      <c r="F308" t="inlineStr">
        <is>
          <t>ÖSTERGÖTLANDS LÄN</t>
        </is>
      </c>
      <c r="G308" t="inlineStr">
        <is>
          <t>MOTALA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44608</v>
      </c>
      <c r="E309" s="1" t="n">
        <v>46279</v>
      </c>
      <c r="F309" t="inlineStr">
        <is>
          <t>ÖSTERGÖTLANDS LÄN</t>
        </is>
      </c>
      <c r="G309" t="inlineStr">
        <is>
          <t>MOTALA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46279</v>
      </c>
      <c r="F310" t="inlineStr">
        <is>
          <t>ÖSTERGÖTLANDS LÄN</t>
        </is>
      </c>
      <c r="G310" t="inlineStr">
        <is>
          <t>MOTALA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46279</v>
      </c>
      <c r="F311" t="inlineStr">
        <is>
          <t>ÖSTERGÖTLANDS LÄN</t>
        </is>
      </c>
      <c r="G311" t="inlineStr">
        <is>
          <t>MOTALA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46279</v>
      </c>
      <c r="F312" t="inlineStr">
        <is>
          <t>ÖSTERGÖTLANDS LÄN</t>
        </is>
      </c>
      <c r="G312" t="inlineStr">
        <is>
          <t>MOTALA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45351</v>
      </c>
      <c r="E313" s="1" t="n">
        <v>46279</v>
      </c>
      <c r="F313" t="inlineStr">
        <is>
          <t>ÖSTERGÖTLANDS LÄN</t>
        </is>
      </c>
      <c r="G313" t="inlineStr">
        <is>
          <t>MOTALA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23839-2026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46279</v>
      </c>
      <c r="F314" t="inlineStr">
        <is>
          <t>ÖSTERGÖTLANDS LÄN</t>
        </is>
      </c>
      <c r="G314" t="inlineStr">
        <is>
          <t>MOTALA</t>
        </is>
      </c>
      <c r="H314" t="inlineStr">
        <is>
          <t>Holmen skog AB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46279</v>
      </c>
      <c r="F315" t="inlineStr">
        <is>
          <t>ÖSTERGÖTLANDS LÄN</t>
        </is>
      </c>
      <c r="G315" t="inlineStr">
        <is>
          <t>MOTALA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46279</v>
      </c>
      <c r="F316" t="inlineStr">
        <is>
          <t>ÖSTERGÖTLANDS LÄN</t>
        </is>
      </c>
      <c r="G316" t="inlineStr">
        <is>
          <t>MOTALA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44748</v>
      </c>
      <c r="E317" s="1" t="n">
        <v>46279</v>
      </c>
      <c r="F317" t="inlineStr">
        <is>
          <t>ÖSTERGÖTLANDS LÄN</t>
        </is>
      </c>
      <c r="G317" t="inlineStr">
        <is>
          <t>MOTALA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28686-2022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44748</v>
      </c>
      <c r="E318" s="1" t="n">
        <v>46279</v>
      </c>
      <c r="F318" t="inlineStr">
        <is>
          <t>ÖSTERGÖTLANDS LÄN</t>
        </is>
      </c>
      <c r="G318" t="inlineStr">
        <is>
          <t>MOTALA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24252-2022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44725</v>
      </c>
      <c r="E319" s="1" t="n">
        <v>46279</v>
      </c>
      <c r="F319" t="inlineStr">
        <is>
          <t>ÖSTERGÖTLANDS LÄN</t>
        </is>
      </c>
      <c r="G319" t="inlineStr">
        <is>
          <t>MOTALA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45237</v>
      </c>
      <c r="E320" s="1" t="n">
        <v>46279</v>
      </c>
      <c r="F320" t="inlineStr">
        <is>
          <t>ÖSTERGÖTLANDS LÄN</t>
        </is>
      </c>
      <c r="G320" t="inlineStr">
        <is>
          <t>MOTALA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44776</v>
      </c>
      <c r="E321" s="1" t="n">
        <v>46279</v>
      </c>
      <c r="F321" t="inlineStr">
        <is>
          <t>ÖSTERGÖTLANDS LÄN</t>
        </is>
      </c>
      <c r="G321" t="inlineStr">
        <is>
          <t>MOTALA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46279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46279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46279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46279</v>
      </c>
      <c r="F325" t="inlineStr">
        <is>
          <t>ÖSTERGÖTLANDS LÄN</t>
        </is>
      </c>
      <c r="G325" t="inlineStr">
        <is>
          <t>MOTALA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46279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45302</v>
      </c>
      <c r="E327" s="1" t="n">
        <v>46279</v>
      </c>
      <c r="F327" t="inlineStr">
        <is>
          <t>ÖSTERGÖTLANDS LÄN</t>
        </is>
      </c>
      <c r="G327" t="inlineStr">
        <is>
          <t>MOTALA</t>
        </is>
      </c>
      <c r="H327" t="inlineStr">
        <is>
          <t>Övriga statliga verk och myndigheter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25977-2022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46279</v>
      </c>
      <c r="F328" t="inlineStr">
        <is>
          <t>ÖSTERGÖTLANDS LÄN</t>
        </is>
      </c>
      <c r="G328" t="inlineStr">
        <is>
          <t>MOTALA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45266</v>
      </c>
      <c r="E329" s="1" t="n">
        <v>46279</v>
      </c>
      <c r="F329" t="inlineStr">
        <is>
          <t>ÖSTERGÖTLANDS LÄN</t>
        </is>
      </c>
      <c r="G329" t="inlineStr">
        <is>
          <t>MOTALA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44804</v>
      </c>
      <c r="E330" s="1" t="n">
        <v>46279</v>
      </c>
      <c r="F330" t="inlineStr">
        <is>
          <t>ÖSTERGÖTLANDS LÄN</t>
        </is>
      </c>
      <c r="G330" t="inlineStr">
        <is>
          <t>MOTALA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24254-2022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44725</v>
      </c>
      <c r="E331" s="1" t="n">
        <v>46279</v>
      </c>
      <c r="F331" t="inlineStr">
        <is>
          <t>ÖSTERGÖTLANDS LÄN</t>
        </is>
      </c>
      <c r="G331" t="inlineStr">
        <is>
          <t>MOTALA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46279</v>
      </c>
      <c r="F332" t="inlineStr">
        <is>
          <t>ÖSTERGÖTLANDS LÄN</t>
        </is>
      </c>
      <c r="G332" t="inlineStr">
        <is>
          <t>MOTALA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46279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23757-2025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45793</v>
      </c>
      <c r="E334" s="1" t="n">
        <v>46279</v>
      </c>
      <c r="F334" t="inlineStr">
        <is>
          <t>ÖSTERGÖTLANDS LÄN</t>
        </is>
      </c>
      <c r="G334" t="inlineStr">
        <is>
          <t>MOTALA</t>
        </is>
      </c>
      <c r="H334" t="inlineStr">
        <is>
          <t>Allmännings- och besparingsskogar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45273</v>
      </c>
      <c r="E335" s="1" t="n">
        <v>46279</v>
      </c>
      <c r="F335" t="inlineStr">
        <is>
          <t>ÖSTERGÖTLANDS LÄN</t>
        </is>
      </c>
      <c r="G335" t="inlineStr">
        <is>
          <t>MOTALA</t>
        </is>
      </c>
      <c r="H335" t="inlineStr">
        <is>
          <t>Kyrkan</t>
        </is>
      </c>
      <c r="I335" t="n">
        <v>8.4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46279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46279</v>
      </c>
      <c r="F337" t="inlineStr">
        <is>
          <t>ÖSTERGÖTLANDS LÄN</t>
        </is>
      </c>
      <c r="G337" t="inlineStr">
        <is>
          <t>MOTALA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46279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44830</v>
      </c>
      <c r="E339" s="1" t="n">
        <v>46279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44830</v>
      </c>
      <c r="E340" s="1" t="n">
        <v>46279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41925-2022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44830</v>
      </c>
      <c r="E341" s="1" t="n">
        <v>46279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41929-2022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46279</v>
      </c>
      <c r="F342" t="inlineStr">
        <is>
          <t>ÖSTERGÖTLANDS LÄN</t>
        </is>
      </c>
      <c r="G342" t="inlineStr">
        <is>
          <t>MOTALA</t>
        </is>
      </c>
      <c r="H342" t="inlineStr">
        <is>
          <t>Sveaskog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46279</v>
      </c>
      <c r="F343" t="inlineStr">
        <is>
          <t>ÖSTERGÖTLANDS LÄN</t>
        </is>
      </c>
      <c r="G343" t="inlineStr">
        <is>
          <t>MOTALA</t>
        </is>
      </c>
      <c r="H343" t="inlineStr">
        <is>
          <t>Allmännings- och besparingsskogar</t>
        </is>
      </c>
      <c r="I343" t="n">
        <v>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46279</v>
      </c>
      <c r="F344" t="inlineStr">
        <is>
          <t>ÖSTERGÖTLANDS LÄN</t>
        </is>
      </c>
      <c r="G344" t="inlineStr">
        <is>
          <t>MOTALA</t>
        </is>
      </c>
      <c r="H344" t="inlineStr">
        <is>
          <t>Allmännings- och besparingsskogar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46279</v>
      </c>
      <c r="F345" t="inlineStr">
        <is>
          <t>ÖSTERGÖTLANDS LÄN</t>
        </is>
      </c>
      <c r="G345" t="inlineStr">
        <is>
          <t>MOTALA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46279</v>
      </c>
      <c r="F346" t="inlineStr">
        <is>
          <t>ÖSTERGÖTLANDS LÄN</t>
        </is>
      </c>
      <c r="G346" t="inlineStr">
        <is>
          <t>MOTALA</t>
        </is>
      </c>
      <c r="I346" t="n">
        <v>10.8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45343</v>
      </c>
      <c r="E347" s="1" t="n">
        <v>46279</v>
      </c>
      <c r="F347" t="inlineStr">
        <is>
          <t>ÖSTERGÖTLANDS LÄN</t>
        </is>
      </c>
      <c r="G347" t="inlineStr">
        <is>
          <t>MOTALA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44776</v>
      </c>
      <c r="E348" s="1" t="n">
        <v>46279</v>
      </c>
      <c r="F348" t="inlineStr">
        <is>
          <t>ÖSTERGÖTLANDS LÄN</t>
        </is>
      </c>
      <c r="G348" t="inlineStr">
        <is>
          <t>MOTALA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6990-2023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44967</v>
      </c>
      <c r="E349" s="1" t="n">
        <v>46279</v>
      </c>
      <c r="F349" t="inlineStr">
        <is>
          <t>ÖSTERGÖTLANDS LÄN</t>
        </is>
      </c>
      <c r="G349" t="inlineStr">
        <is>
          <t>MOTALA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44967</v>
      </c>
      <c r="E350" s="1" t="n">
        <v>46279</v>
      </c>
      <c r="F350" t="inlineStr">
        <is>
          <t>ÖSTERGÖTLANDS LÄN</t>
        </is>
      </c>
      <c r="G350" t="inlineStr">
        <is>
          <t>MOTALA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46279</v>
      </c>
      <c r="F351" t="inlineStr">
        <is>
          <t>ÖSTERGÖTLANDS LÄN</t>
        </is>
      </c>
      <c r="G351" t="inlineStr">
        <is>
          <t>MOTALA</t>
        </is>
      </c>
      <c r="H351" t="inlineStr">
        <is>
          <t>Övriga statliga verk och myndigheter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46279</v>
      </c>
      <c r="F352" t="inlineStr">
        <is>
          <t>ÖSTERGÖTLANDS LÄN</t>
        </is>
      </c>
      <c r="G352" t="inlineStr">
        <is>
          <t>MOTALA</t>
        </is>
      </c>
      <c r="H352" t="inlineStr">
        <is>
          <t>Övriga statliga verk och myndigheter</t>
        </is>
      </c>
      <c r="I352" t="n">
        <v>25.1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60029-2021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44494</v>
      </c>
      <c r="E353" s="1" t="n">
        <v>46279</v>
      </c>
      <c r="F353" t="inlineStr">
        <is>
          <t>ÖSTERGÖTLANDS LÄN</t>
        </is>
      </c>
      <c r="G353" t="inlineStr">
        <is>
          <t>MOTALA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44914</v>
      </c>
      <c r="E354" s="1" t="n">
        <v>46279</v>
      </c>
      <c r="F354" t="inlineStr">
        <is>
          <t>ÖSTERGÖTLANDS LÄN</t>
        </is>
      </c>
      <c r="G354" t="inlineStr">
        <is>
          <t>MOTALA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46279</v>
      </c>
      <c r="F355" t="inlineStr">
        <is>
          <t>ÖSTERGÖTLANDS LÄN</t>
        </is>
      </c>
      <c r="G355" t="inlineStr">
        <is>
          <t>MOTALA</t>
        </is>
      </c>
      <c r="H355" t="inlineStr">
        <is>
          <t>Allmännings- och besparingsskogar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46279</v>
      </c>
      <c r="F356" t="inlineStr">
        <is>
          <t>ÖSTERGÖTLANDS LÄN</t>
        </is>
      </c>
      <c r="G356" t="inlineStr">
        <is>
          <t>MOTALA</t>
        </is>
      </c>
      <c r="H356" t="inlineStr">
        <is>
          <t>Allmännings- och besparingsskogar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46279</v>
      </c>
      <c r="F357" t="inlineStr">
        <is>
          <t>ÖSTERGÖTLANDS LÄN</t>
        </is>
      </c>
      <c r="G357" t="inlineStr">
        <is>
          <t>MOTALA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46279</v>
      </c>
      <c r="F358" t="inlineStr">
        <is>
          <t>ÖSTERGÖTLANDS LÄN</t>
        </is>
      </c>
      <c r="G358" t="inlineStr">
        <is>
          <t>MOTALA</t>
        </is>
      </c>
      <c r="H358" t="inlineStr">
        <is>
          <t>Allmännings- och besparingsskogar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44935</v>
      </c>
      <c r="E359" s="1" t="n">
        <v>46279</v>
      </c>
      <c r="F359" t="inlineStr">
        <is>
          <t>ÖSTERGÖTLANDS LÄN</t>
        </is>
      </c>
      <c r="G359" t="inlineStr">
        <is>
          <t>MOTALA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46279</v>
      </c>
      <c r="F360" t="inlineStr">
        <is>
          <t>ÖSTERGÖTLANDS LÄN</t>
        </is>
      </c>
      <c r="G360" t="inlineStr">
        <is>
          <t>MOTALA</t>
        </is>
      </c>
      <c r="H360" t="inlineStr">
        <is>
          <t>Allmännings- och besparingsskogar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37279-2024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45540</v>
      </c>
      <c r="E361" s="1" t="n">
        <v>46279</v>
      </c>
      <c r="F361" t="inlineStr">
        <is>
          <t>ÖSTERGÖTLANDS LÄN</t>
        </is>
      </c>
      <c r="G361" t="inlineStr">
        <is>
          <t>MOTALA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32985-2026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46243</v>
      </c>
      <c r="E362" s="1" t="n">
        <v>46279</v>
      </c>
      <c r="F362" t="inlineStr">
        <is>
          <t>ÖSTERGÖTLANDS LÄN</t>
        </is>
      </c>
      <c r="G362" t="inlineStr">
        <is>
          <t>MOTALA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42137-2024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46279</v>
      </c>
      <c r="F363" t="inlineStr">
        <is>
          <t>ÖSTERGÖTLANDS LÄN</t>
        </is>
      </c>
      <c r="G363" t="inlineStr">
        <is>
          <t>MOTALA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44992</v>
      </c>
      <c r="E364" s="1" t="n">
        <v>46279</v>
      </c>
      <c r="F364" t="inlineStr">
        <is>
          <t>ÖSTERGÖTLANDS LÄN</t>
        </is>
      </c>
      <c r="G364" t="inlineStr">
        <is>
          <t>MOTALA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44637</v>
      </c>
      <c r="E365" s="1" t="n">
        <v>46279</v>
      </c>
      <c r="F365" t="inlineStr">
        <is>
          <t>ÖSTERGÖTLANDS LÄN</t>
        </is>
      </c>
      <c r="G365" t="inlineStr">
        <is>
          <t>MOTALA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12643-2022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44641</v>
      </c>
      <c r="E366" s="1" t="n">
        <v>46279</v>
      </c>
      <c r="F366" t="inlineStr">
        <is>
          <t>ÖSTERGÖTLANDS LÄN</t>
        </is>
      </c>
      <c r="G366" t="inlineStr">
        <is>
          <t>MOTALA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44592</v>
      </c>
      <c r="E367" s="1" t="n">
        <v>46279</v>
      </c>
      <c r="F367" t="inlineStr">
        <is>
          <t>ÖSTERGÖTLANDS LÄN</t>
        </is>
      </c>
      <c r="G367" t="inlineStr">
        <is>
          <t>MOTALA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46279</v>
      </c>
      <c r="F368" t="inlineStr">
        <is>
          <t>ÖSTERGÖTLANDS LÄN</t>
        </is>
      </c>
      <c r="G368" t="inlineStr">
        <is>
          <t>MOTALA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45401</v>
      </c>
      <c r="E369" s="1" t="n">
        <v>46279</v>
      </c>
      <c r="F369" t="inlineStr">
        <is>
          <t>ÖSTERGÖTLANDS LÄN</t>
        </is>
      </c>
      <c r="G369" t="inlineStr">
        <is>
          <t>MOTALA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46279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27965-2024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45476</v>
      </c>
      <c r="E371" s="1" t="n">
        <v>46279</v>
      </c>
      <c r="F371" t="inlineStr">
        <is>
          <t>ÖSTERGÖTLANDS LÄN</t>
        </is>
      </c>
      <c r="G371" t="inlineStr">
        <is>
          <t>MOTALA</t>
        </is>
      </c>
      <c r="H371" t="inlineStr">
        <is>
          <t>Holmen skog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46279</v>
      </c>
      <c r="F372" t="inlineStr">
        <is>
          <t>ÖSTERGÖTLANDS LÄN</t>
        </is>
      </c>
      <c r="G372" t="inlineStr">
        <is>
          <t>MOTALA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44930</v>
      </c>
      <c r="E373" s="1" t="n">
        <v>46279</v>
      </c>
      <c r="F373" t="inlineStr">
        <is>
          <t>ÖSTERGÖTLANDS LÄN</t>
        </is>
      </c>
      <c r="G373" t="inlineStr">
        <is>
          <t>MOTALA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57992-2021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44487</v>
      </c>
      <c r="E374" s="1" t="n">
        <v>46279</v>
      </c>
      <c r="F374" t="inlineStr">
        <is>
          <t>ÖSTERGÖTLANDS LÄN</t>
        </is>
      </c>
      <c r="G374" t="inlineStr">
        <is>
          <t>MOTALA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29736-2026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46204</v>
      </c>
      <c r="E375" s="1" t="n">
        <v>46279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44573</v>
      </c>
      <c r="E376" s="1" t="n">
        <v>46279</v>
      </c>
      <c r="F376" t="inlineStr">
        <is>
          <t>ÖSTERGÖTLANDS LÄN</t>
        </is>
      </c>
      <c r="G376" t="inlineStr">
        <is>
          <t>MOTALA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55395-2022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44887</v>
      </c>
      <c r="E377" s="1" t="n">
        <v>46279</v>
      </c>
      <c r="F377" t="inlineStr">
        <is>
          <t>ÖSTERGÖTLANDS LÄN</t>
        </is>
      </c>
      <c r="G377" t="inlineStr">
        <is>
          <t>MOTALA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44931</v>
      </c>
      <c r="E378" s="1" t="n">
        <v>46279</v>
      </c>
      <c r="F378" t="inlineStr">
        <is>
          <t>ÖSTERGÖTLANDS LÄN</t>
        </is>
      </c>
      <c r="G378" t="inlineStr">
        <is>
          <t>MOTALA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2028-2022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44575</v>
      </c>
      <c r="E379" s="1" t="n">
        <v>46279</v>
      </c>
      <c r="F379" t="inlineStr">
        <is>
          <t>ÖSTERGÖTLANDS LÄN</t>
        </is>
      </c>
      <c r="G379" t="inlineStr">
        <is>
          <t>MOTALA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65566-2021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46279</v>
      </c>
      <c r="F380" t="inlineStr">
        <is>
          <t>ÖSTERGÖTLANDS LÄN</t>
        </is>
      </c>
      <c r="G380" t="inlineStr">
        <is>
          <t>MOTALA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50785-2021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44459</v>
      </c>
      <c r="E381" s="1" t="n">
        <v>46279</v>
      </c>
      <c r="F381" t="inlineStr">
        <is>
          <t>ÖSTERGÖTLANDS LÄN</t>
        </is>
      </c>
      <c r="G381" t="inlineStr">
        <is>
          <t>MOTALA</t>
        </is>
      </c>
      <c r="H381" t="inlineStr">
        <is>
          <t>Kyrkan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27418-2022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44742</v>
      </c>
      <c r="E382" s="1" t="n">
        <v>46279</v>
      </c>
      <c r="F382" t="inlineStr">
        <is>
          <t>ÖSTERGÖTLANDS LÄN</t>
        </is>
      </c>
      <c r="G382" t="inlineStr">
        <is>
          <t>MOTALA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46279</v>
      </c>
      <c r="F383" t="inlineStr">
        <is>
          <t>ÖSTERGÖTLANDS LÄN</t>
        </is>
      </c>
      <c r="G383" t="inlineStr">
        <is>
          <t>MOTALA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8724-2022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44613</v>
      </c>
      <c r="E384" s="1" t="n">
        <v>46279</v>
      </c>
      <c r="F384" t="inlineStr">
        <is>
          <t>ÖSTERGÖTLANDS LÄN</t>
        </is>
      </c>
      <c r="G384" t="inlineStr">
        <is>
          <t>MOTALA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16586-2023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45030</v>
      </c>
      <c r="E385" s="1" t="n">
        <v>46279</v>
      </c>
      <c r="F385" t="inlineStr">
        <is>
          <t>ÖSTERGÖTLANDS LÄN</t>
        </is>
      </c>
      <c r="G385" t="inlineStr">
        <is>
          <t>MOTALA</t>
        </is>
      </c>
      <c r="H385" t="inlineStr">
        <is>
          <t>Kyrkan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46279</v>
      </c>
      <c r="F386" t="inlineStr">
        <is>
          <t>ÖSTERGÖTLANDS LÄN</t>
        </is>
      </c>
      <c r="G386" t="inlineStr">
        <is>
          <t>MOTALA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44566</v>
      </c>
      <c r="E387" s="1" t="n">
        <v>46279</v>
      </c>
      <c r="F387" t="inlineStr">
        <is>
          <t>ÖSTERGÖTLANDS LÄN</t>
        </is>
      </c>
      <c r="G387" t="inlineStr">
        <is>
          <t>MOTALA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45034</v>
      </c>
      <c r="E388" s="1" t="n">
        <v>46279</v>
      </c>
      <c r="F388" t="inlineStr">
        <is>
          <t>ÖSTERGÖTLANDS LÄN</t>
        </is>
      </c>
      <c r="G388" t="inlineStr">
        <is>
          <t>MOTALA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46279</v>
      </c>
      <c r="F389" t="inlineStr">
        <is>
          <t>ÖSTERGÖTLANDS LÄN</t>
        </is>
      </c>
      <c r="G389" t="inlineStr">
        <is>
          <t>MOTALA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46279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46279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46255</v>
      </c>
      <c r="E392" s="1" t="n">
        <v>46279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46255</v>
      </c>
      <c r="E393" s="1" t="n">
        <v>46279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45659</v>
      </c>
      <c r="E394" s="1" t="n">
        <v>46279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44865</v>
      </c>
      <c r="E395" s="1" t="n">
        <v>46279</v>
      </c>
      <c r="F395" t="inlineStr">
        <is>
          <t>ÖSTERGÖTLANDS LÄN</t>
        </is>
      </c>
      <c r="G395" t="inlineStr">
        <is>
          <t>MOTALA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46279</v>
      </c>
      <c r="F396" t="inlineStr">
        <is>
          <t>ÖSTERGÖTLANDS LÄN</t>
        </is>
      </c>
      <c r="G396" t="inlineStr">
        <is>
          <t>MOTALA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46259</v>
      </c>
      <c r="E397" s="1" t="n">
        <v>46279</v>
      </c>
      <c r="F397" t="inlineStr">
        <is>
          <t>ÖSTERGÖTLANDS LÄN</t>
        </is>
      </c>
      <c r="G397" t="inlineStr">
        <is>
          <t>MOTALA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44830</v>
      </c>
      <c r="E398" s="1" t="n">
        <v>46279</v>
      </c>
      <c r="F398" t="inlineStr">
        <is>
          <t>ÖSTERGÖTLANDS LÄN</t>
        </is>
      </c>
      <c r="G398" t="inlineStr">
        <is>
          <t>MOTALA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46218</v>
      </c>
      <c r="E399" s="1" t="n">
        <v>46279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46218</v>
      </c>
      <c r="E400" s="1" t="n">
        <v>46279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31441-2023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45114</v>
      </c>
      <c r="E401" s="1" t="n">
        <v>46279</v>
      </c>
      <c r="F401" t="inlineStr">
        <is>
          <t>ÖSTERGÖTLANDS LÄN</t>
        </is>
      </c>
      <c r="G401" t="inlineStr">
        <is>
          <t>MOTALA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31297-2026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46218</v>
      </c>
      <c r="E402" s="1" t="n">
        <v>46279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45747</v>
      </c>
      <c r="E403" s="1" t="n">
        <v>46279</v>
      </c>
      <c r="F403" t="inlineStr">
        <is>
          <t>ÖSTERGÖTLANDS LÄN</t>
        </is>
      </c>
      <c r="G403" t="inlineStr">
        <is>
          <t>MOTALA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45294</v>
      </c>
      <c r="E404" s="1" t="n">
        <v>46279</v>
      </c>
      <c r="F404" t="inlineStr">
        <is>
          <t>ÖSTERGÖTLANDS LÄN</t>
        </is>
      </c>
      <c r="G404" t="inlineStr">
        <is>
          <t>MOTALA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46279</v>
      </c>
      <c r="F405" t="inlineStr">
        <is>
          <t>ÖSTERGÖTLANDS LÄN</t>
        </is>
      </c>
      <c r="G405" t="inlineStr">
        <is>
          <t>MOTALA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21527-2023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45061</v>
      </c>
      <c r="E406" s="1" t="n">
        <v>46279</v>
      </c>
      <c r="F406" t="inlineStr">
        <is>
          <t>ÖSTERGÖTLANDS LÄN</t>
        </is>
      </c>
      <c r="G406" t="inlineStr">
        <is>
          <t>MOTALA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51092-2024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45603</v>
      </c>
      <c r="E407" s="1" t="n">
        <v>46279</v>
      </c>
      <c r="F407" t="inlineStr">
        <is>
          <t>ÖSTERGÖTLANDS LÄN</t>
        </is>
      </c>
      <c r="G407" t="inlineStr">
        <is>
          <t>MOTALA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44935</v>
      </c>
      <c r="E408" s="1" t="n">
        <v>46279</v>
      </c>
      <c r="F408" t="inlineStr">
        <is>
          <t>ÖSTERGÖTLANDS LÄN</t>
        </is>
      </c>
      <c r="G408" t="inlineStr">
        <is>
          <t>MOTALA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45079</v>
      </c>
      <c r="E409" s="1" t="n">
        <v>46279</v>
      </c>
      <c r="F409" t="inlineStr">
        <is>
          <t>ÖSTERGÖTLANDS LÄN</t>
        </is>
      </c>
      <c r="G409" t="inlineStr">
        <is>
          <t>MOTALA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64164-2023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45279</v>
      </c>
      <c r="E410" s="1" t="n">
        <v>46279</v>
      </c>
      <c r="F410" t="inlineStr">
        <is>
          <t>ÖSTERGÖTLANDS LÄN</t>
        </is>
      </c>
      <c r="G410" t="inlineStr">
        <is>
          <t>MOTALA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46279</v>
      </c>
      <c r="F411" t="inlineStr">
        <is>
          <t>ÖSTERGÖTLANDS LÄN</t>
        </is>
      </c>
      <c r="G411" t="inlineStr">
        <is>
          <t>MOTALA</t>
        </is>
      </c>
      <c r="H411" t="inlineStr">
        <is>
          <t>Kommuner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46279</v>
      </c>
      <c r="F412" t="inlineStr">
        <is>
          <t>ÖSTERGÖTLANDS LÄN</t>
        </is>
      </c>
      <c r="G412" t="inlineStr">
        <is>
          <t>MOTALA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46279</v>
      </c>
      <c r="F413" t="inlineStr">
        <is>
          <t>ÖSTERGÖTLANDS LÄN</t>
        </is>
      </c>
      <c r="G413" t="inlineStr">
        <is>
          <t>MOTALA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24701-2024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45460</v>
      </c>
      <c r="E414" s="1" t="n">
        <v>46279</v>
      </c>
      <c r="F414" t="inlineStr">
        <is>
          <t>ÖSTERGÖTLANDS LÄN</t>
        </is>
      </c>
      <c r="G414" t="inlineStr">
        <is>
          <t>MOTALA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46279</v>
      </c>
      <c r="F415" t="inlineStr">
        <is>
          <t>ÖSTERGÖTLANDS LÄN</t>
        </is>
      </c>
      <c r="G415" t="inlineStr">
        <is>
          <t>MOTALA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44967</v>
      </c>
      <c r="E416" s="1" t="n">
        <v>46279</v>
      </c>
      <c r="F416" t="inlineStr">
        <is>
          <t>ÖSTERGÖTLANDS LÄN</t>
        </is>
      </c>
      <c r="G416" t="inlineStr">
        <is>
          <t>MOTALA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44967</v>
      </c>
      <c r="E417" s="1" t="n">
        <v>46279</v>
      </c>
      <c r="F417" t="inlineStr">
        <is>
          <t>ÖSTERGÖTLANDS LÄN</t>
        </is>
      </c>
      <c r="G417" t="inlineStr">
        <is>
          <t>MOTALA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46279</v>
      </c>
      <c r="F418" t="inlineStr">
        <is>
          <t>ÖSTERGÖTLANDS LÄN</t>
        </is>
      </c>
      <c r="G418" t="inlineStr">
        <is>
          <t>MOTALA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45204</v>
      </c>
      <c r="E419" s="1" t="n">
        <v>46279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45266</v>
      </c>
      <c r="E420" s="1" t="n">
        <v>46279</v>
      </c>
      <c r="F420" t="inlineStr">
        <is>
          <t>ÖSTERGÖTLANDS LÄN</t>
        </is>
      </c>
      <c r="G420" t="inlineStr">
        <is>
          <t>MOTALA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19526-2024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45429</v>
      </c>
      <c r="E421" s="1" t="n">
        <v>46279</v>
      </c>
      <c r="F421" t="inlineStr">
        <is>
          <t>ÖSTERGÖTLANDS LÄN</t>
        </is>
      </c>
      <c r="G421" t="inlineStr">
        <is>
          <t>MOTALA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45454</v>
      </c>
      <c r="E422" s="1" t="n">
        <v>46279</v>
      </c>
      <c r="F422" t="inlineStr">
        <is>
          <t>ÖSTERGÖTLANDS LÄN</t>
        </is>
      </c>
      <c r="G422" t="inlineStr">
        <is>
          <t>MOTALA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50180-2023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45215</v>
      </c>
      <c r="E423" s="1" t="n">
        <v>46279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21309-2025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45781</v>
      </c>
      <c r="E424" s="1" t="n">
        <v>46279</v>
      </c>
      <c r="F424" t="inlineStr">
        <is>
          <t>ÖSTERGÖTLANDS LÄN</t>
        </is>
      </c>
      <c r="G424" t="inlineStr">
        <is>
          <t>MOTALA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45708</v>
      </c>
      <c r="E425" s="1" t="n">
        <v>46279</v>
      </c>
      <c r="F425" t="inlineStr">
        <is>
          <t>ÖSTERGÖTLANDS LÄN</t>
        </is>
      </c>
      <c r="G425" t="inlineStr">
        <is>
          <t>MOTALA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46279</v>
      </c>
      <c r="F426" t="inlineStr">
        <is>
          <t>ÖSTERGÖTLANDS LÄN</t>
        </is>
      </c>
      <c r="G426" t="inlineStr">
        <is>
          <t>MOTALA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46279</v>
      </c>
      <c r="F427" t="inlineStr">
        <is>
          <t>ÖSTERGÖTLANDS LÄN</t>
        </is>
      </c>
      <c r="G427" t="inlineStr">
        <is>
          <t>MOTALA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45589</v>
      </c>
      <c r="E428" s="1" t="n">
        <v>46279</v>
      </c>
      <c r="F428" t="inlineStr">
        <is>
          <t>ÖSTERGÖTLANDS LÄN</t>
        </is>
      </c>
      <c r="G428" t="inlineStr">
        <is>
          <t>MOTALA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46279</v>
      </c>
      <c r="F429" t="inlineStr">
        <is>
          <t>ÖSTERGÖTLANDS LÄN</t>
        </is>
      </c>
      <c r="G429" t="inlineStr">
        <is>
          <t>MOTALA</t>
        </is>
      </c>
      <c r="H429" t="inlineStr">
        <is>
          <t>Allmännings- och besparingsskogar</t>
        </is>
      </c>
      <c r="I429" t="n">
        <v>37.7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51728-2024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46279</v>
      </c>
      <c r="F430" t="inlineStr">
        <is>
          <t>ÖSTERGÖTLANDS LÄN</t>
        </is>
      </c>
      <c r="G430" t="inlineStr">
        <is>
          <t>MOTALA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45632</v>
      </c>
      <c r="E431" s="1" t="n">
        <v>46279</v>
      </c>
      <c r="F431" t="inlineStr">
        <is>
          <t>ÖSTERGÖTLANDS LÄN</t>
        </is>
      </c>
      <c r="G431" t="inlineStr">
        <is>
          <t>MOTALA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51648-2023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45222</v>
      </c>
      <c r="E432" s="1" t="n">
        <v>46279</v>
      </c>
      <c r="F432" t="inlineStr">
        <is>
          <t>ÖSTERGÖTLANDS LÄN</t>
        </is>
      </c>
      <c r="G432" t="inlineStr">
        <is>
          <t>MOTALA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45666</v>
      </c>
      <c r="E433" s="1" t="n">
        <v>46279</v>
      </c>
      <c r="F433" t="inlineStr">
        <is>
          <t>ÖSTERGÖTLANDS LÄN</t>
        </is>
      </c>
      <c r="G433" t="inlineStr">
        <is>
          <t>MOTALA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46279</v>
      </c>
      <c r="F434" t="inlineStr">
        <is>
          <t>ÖSTERGÖTLANDS LÄN</t>
        </is>
      </c>
      <c r="G434" t="inlineStr">
        <is>
          <t>MOTALA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60669-2024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46279</v>
      </c>
      <c r="F435" t="inlineStr">
        <is>
          <t>ÖSTERGÖTLANDS LÄN</t>
        </is>
      </c>
      <c r="G435" t="inlineStr">
        <is>
          <t>MOTALA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45630</v>
      </c>
      <c r="E436" s="1" t="n">
        <v>46279</v>
      </c>
      <c r="F436" t="inlineStr">
        <is>
          <t>ÖSTERGÖTLANDS LÄN</t>
        </is>
      </c>
      <c r="G436" t="inlineStr">
        <is>
          <t>MOTALA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45689</v>
      </c>
      <c r="E437" s="1" t="n">
        <v>46279</v>
      </c>
      <c r="F437" t="inlineStr">
        <is>
          <t>ÖSTERGÖTLANDS LÄN</t>
        </is>
      </c>
      <c r="G437" t="inlineStr">
        <is>
          <t>MOTALA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46279</v>
      </c>
      <c r="F438" t="inlineStr">
        <is>
          <t>ÖSTERGÖTLANDS LÄN</t>
        </is>
      </c>
      <c r="G438" t="inlineStr">
        <is>
          <t>MOTALA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45798</v>
      </c>
      <c r="E439" s="1" t="n">
        <v>46279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45803</v>
      </c>
      <c r="E440" s="1" t="n">
        <v>46279</v>
      </c>
      <c r="F440" t="inlineStr">
        <is>
          <t>ÖSTERGÖTLANDS LÄN</t>
        </is>
      </c>
      <c r="G440" t="inlineStr">
        <is>
          <t>MOTALA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3262-2024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45526</v>
      </c>
      <c r="E441" s="1" t="n">
        <v>46279</v>
      </c>
      <c r="F441" t="inlineStr">
        <is>
          <t>ÖSTERGÖTLANDS LÄN</t>
        </is>
      </c>
      <c r="G441" t="inlineStr">
        <is>
          <t>MOTALA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3481-2023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45205</v>
      </c>
      <c r="E442" s="1" t="n">
        <v>46279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2511-2024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45474</v>
      </c>
      <c r="E443" s="1" t="n">
        <v>46279</v>
      </c>
      <c r="F443" t="inlineStr">
        <is>
          <t>ÖSTERGÖTLANDS LÄN</t>
        </is>
      </c>
      <c r="G443" t="inlineStr">
        <is>
          <t>MOTALA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2535-2024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46279</v>
      </c>
      <c r="F444" t="inlineStr">
        <is>
          <t>ÖSTERGÖTLANDS LÄN</t>
        </is>
      </c>
      <c r="G444" t="inlineStr">
        <is>
          <t>MOTALA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1264-2025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45763</v>
      </c>
      <c r="E445" s="1" t="n">
        <v>46279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1475-2025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45786</v>
      </c>
      <c r="E446" s="1" t="n">
        <v>46279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1584-2025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45796</v>
      </c>
      <c r="E447" s="1" t="n">
        <v>46279</v>
      </c>
      <c r="F447" t="inlineStr">
        <is>
          <t>ÖSTERGÖTLANDS LÄN</t>
        </is>
      </c>
      <c r="G447" t="inlineStr">
        <is>
          <t>MOTALA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46071</v>
      </c>
      <c r="E448" s="1" t="n">
        <v>46279</v>
      </c>
      <c r="F448" t="inlineStr">
        <is>
          <t>ÖSTERGÖTLANDS LÄN</t>
        </is>
      </c>
      <c r="G448" t="inlineStr">
        <is>
          <t>MOTALA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523-2026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46077</v>
      </c>
      <c r="E449" s="1" t="n">
        <v>46279</v>
      </c>
      <c r="F449" t="inlineStr">
        <is>
          <t>ÖSTERGÖTLANDS LÄN</t>
        </is>
      </c>
      <c r="G449" t="inlineStr">
        <is>
          <t>MOTALA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820-2026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46104</v>
      </c>
      <c r="E450" s="1" t="n">
        <v>46279</v>
      </c>
      <c r="F450" t="inlineStr">
        <is>
          <t>ÖSTERGÖTLANDS LÄN</t>
        </is>
      </c>
      <c r="G450" t="inlineStr">
        <is>
          <t>MOTALA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2026-09-14T02:15:24Z</dcterms:created>
  <dcterms:modified xmlns:dcterms="http://purl.org/dc/terms/" xmlns:xsi="http://www.w3.org/2001/XMLSchema-instance" xsi:type="dcterms:W3CDTF">2026-09-14T02:15:25Z</dcterms:modified>
</cp:coreProperties>
</file>