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1069-2025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45749</v>
      </c>
      <c r="E2" s="1" t="n">
        <v>46226</v>
      </c>
      <c r="F2" t="inlineStr">
        <is>
          <t>ÖSTERGÖTLANDS LÄN</t>
        </is>
      </c>
      <c r="G2" t="inlineStr">
        <is>
          <t>MOTALA</t>
        </is>
      </c>
      <c r="H2" t="inlineStr">
        <is>
          <t>Sveaskog</t>
        </is>
      </c>
      <c r="I2" t="n">
        <v>498.5</v>
      </c>
      <c r="J2" t="n">
        <v>4</v>
      </c>
      <c r="K2" t="n">
        <v>3</v>
      </c>
      <c r="L2" t="n">
        <v>8</v>
      </c>
      <c r="M2" t="n">
        <v>0</v>
      </c>
      <c r="N2" t="n">
        <v>2</v>
      </c>
      <c r="O2" t="n">
        <v>0</v>
      </c>
      <c r="P2" t="n">
        <v>0</v>
      </c>
      <c r="Q2" t="n">
        <v>10</v>
      </c>
      <c r="R2" t="n">
        <v>2</v>
      </c>
      <c r="S2" t="n">
        <v>16</v>
      </c>
      <c r="T2" t="n">
        <v>18</v>
      </c>
      <c r="U2" t="n">
        <v>0</v>
      </c>
      <c r="V2" s="2" t="inlineStr">
        <is>
          <t>Ask
Skogsalm
Gullklöver
Klasefibbla
Loppstarr
Majviva
Skogsklocka
Sommarfibbla
Svinrot
Ängsstarr
Tibast
Tvåblad
Underviol
Mattlummer
Nattskärra
Grönvit nattviol</t>
        </is>
      </c>
      <c r="W2">
        <f>HYPERLINK("https://klasma.github.io/Logging_0583/artfynd/S 1069-2025 artfynd.xlsx", "S 1069-2025")</f>
        <v/>
      </c>
      <c r="X2">
        <f>HYPERLINK("https://klasma.github.io/Logging_0583/kartor/S 1069-2025 karta.png", "S 1069-2025")</f>
        <v/>
      </c>
      <c r="Y2">
        <f>HYPERLINK("https://klasma.github.io/Logging_0583/kartor_geotiff/S 1069-2025 georefererad karta.tif", "S 1069-2025")</f>
        <v/>
      </c>
      <c r="AA2">
        <f>HYPERLINK("https://klasma.github.io/Logging_0583/klagomål/S 1069-2025 FSC-klagomål.docx", "S 1069-2025")</f>
        <v/>
      </c>
      <c r="AB2">
        <f>HYPERLINK("https://klasma.github.io/Logging_0583/klagomålsmail/S 1069-2025 FSC-klagomål mail.docx", "S 1069-2025")</f>
        <v/>
      </c>
      <c r="AC2">
        <f>HYPERLINK("https://klasma.github.io/Logging_0583/tillsyn/S 1069-2025 tillsynsbegäran.docx", "S 1069-2025")</f>
        <v/>
      </c>
      <c r="AD2">
        <f>HYPERLINK("https://klasma.github.io/Logging_0583/tillsynsmail/S 1069-2025 tillsynsbegäran mail.docx", "S 1069-2025")</f>
        <v/>
      </c>
      <c r="AE2">
        <f>HYPERLINK("https://klasma.github.io/Logging_0583/fåglar/S 1069-2025 prioriterade fågelarter.docx", "S 1069-2025")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46226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7</v>
      </c>
      <c r="K3" t="n">
        <v>5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13</v>
      </c>
      <c r="T3" t="n">
        <v>23</v>
      </c>
      <c r="U3" t="n">
        <v>23</v>
      </c>
      <c r="V3" s="2" t="inlineStr">
        <is>
          <t>Grönfink
Talltita
Vedtrappmossa
Björksplintborre
Bronshjon
Grönpyrola
Thomsons trägnagare
Vågbandad barkbock
Spillkråka
Tjäder
Tofsmes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A 23975-2026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46167</v>
      </c>
      <c r="E4" s="1" t="n">
        <v>46226</v>
      </c>
      <c r="F4" t="inlineStr">
        <is>
          <t>ÖSTERGÖTLANDS LÄN</t>
        </is>
      </c>
      <c r="G4" t="inlineStr">
        <is>
          <t>MOTALA</t>
        </is>
      </c>
      <c r="H4" t="inlineStr">
        <is>
          <t>Holmen skog AB</t>
        </is>
      </c>
      <c r="I4" t="n">
        <v>4.5</v>
      </c>
      <c r="J4" t="n">
        <v>7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13</v>
      </c>
      <c r="T4" t="n">
        <v>14</v>
      </c>
      <c r="U4" t="n">
        <v>13</v>
      </c>
      <c r="V4" s="2" t="inlineStr">
        <is>
          <t>Knärot
Rödvingetrast
Svart skogssnigel
Talltita
Älg
Björksplintborre
Bergsslok
Liljekonvalj
Linnea
Spillkråka
Tofsmes
Vanlig groda
Fläcknycklar</t>
        </is>
      </c>
      <c r="W4">
        <f>HYPERLINK("https://klasma.github.io/Logging_0583/artfynd/A 23975-2026 artfynd.xlsx", "A 23975-2026")</f>
        <v/>
      </c>
      <c r="X4">
        <f>HYPERLINK("https://klasma.github.io/Logging_0583/kartor/A 23975-2026 karta.png", "A 23975-2026")</f>
        <v/>
      </c>
      <c r="Y4">
        <f>HYPERLINK("https://klasma.github.io/Logging_0583/kartor_geotiff/A 23975-2026 georefererad karta.tif", "A 23975-2026")</f>
        <v/>
      </c>
      <c r="Z4">
        <f>HYPERLINK("https://klasma.github.io/Logging_0583/knärot/A 23975-2026 karta knärot.png", "A 23975-2026")</f>
        <v/>
      </c>
      <c r="AA4">
        <f>HYPERLINK("https://klasma.github.io/Logging_0583/klagomål/A 23975-2026 FSC-klagomål.docx", "A 23975-2026")</f>
        <v/>
      </c>
      <c r="AB4">
        <f>HYPERLINK("https://klasma.github.io/Logging_0583/klagomålsmail/A 23975-2026 FSC-klagomål mail.docx", "A 23975-2026")</f>
        <v/>
      </c>
      <c r="AC4">
        <f>HYPERLINK("https://klasma.github.io/Logging_0583/tillsyn/A 23975-2026 tillsynsbegäran.docx", "A 23975-2026")</f>
        <v/>
      </c>
      <c r="AD4">
        <f>HYPERLINK("https://klasma.github.io/Logging_0583/tillsynsmail/A 23975-2026 tillsynsbegäran mail.docx", "A 23975-2026")</f>
        <v/>
      </c>
      <c r="AE4">
        <f>HYPERLINK("https://klasma.github.io/Logging_0583/fåglar/A 23975-2026 prioriterade fågelarter.docx", "A 23975-2026")</f>
        <v/>
      </c>
    </row>
    <row r="5" ht="15" customHeight="1">
      <c r="A5" t="inlineStr">
        <is>
          <t>S 297-2023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44953</v>
      </c>
      <c r="E5" s="1" t="n">
        <v>46226</v>
      </c>
      <c r="F5" t="inlineStr">
        <is>
          <t>ÖSTERGÖTLANDS LÄN</t>
        </is>
      </c>
      <c r="G5" t="inlineStr">
        <is>
          <t>MOTALA</t>
        </is>
      </c>
      <c r="I5" t="n">
        <v>1.5</v>
      </c>
      <c r="J5" t="n">
        <v>6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14</v>
      </c>
      <c r="U5" t="n">
        <v>14</v>
      </c>
      <c r="V5" s="2" t="inlineStr">
        <is>
          <t>Nordfladdermus
Svinrot
Gulpudrad spiklav
Dvärgpipistrell
Gråskimlig fladdermus
Större brunfladdermus
Trollpipistrell
Vattenfladdermus</t>
        </is>
      </c>
      <c r="W5">
        <f>HYPERLINK("https://klasma.github.io/Logging_0583/artfynd/S 297-2023 artfynd.xlsx", "S 297-2023")</f>
        <v/>
      </c>
      <c r="X5">
        <f>HYPERLINK("https://klasma.github.io/Logging_0583/kartor/S 297-2023 karta.png", "S 297-2023")</f>
        <v/>
      </c>
      <c r="Y5">
        <f>HYPERLINK("https://klasma.github.io/Logging_0583/kartor_geotiff/S 297-2023 georefererad karta.tif", "S 297-2023")</f>
        <v/>
      </c>
      <c r="AA5">
        <f>HYPERLINK("https://klasma.github.io/Logging_0583/klagomål/S 297-2023 FSC-klagomål.docx", "S 297-2023")</f>
        <v/>
      </c>
      <c r="AB5">
        <f>HYPERLINK("https://klasma.github.io/Logging_0583/klagomålsmail/S 297-2023 FSC-klagomål mail.docx", "S 297-2023")</f>
        <v/>
      </c>
      <c r="AC5">
        <f>HYPERLINK("https://klasma.github.io/Logging_0583/tillsyn/S 297-2023 tillsynsbegäran.docx", "S 297-2023")</f>
        <v/>
      </c>
      <c r="AD5">
        <f>HYPERLINK("https://klasma.github.io/Logging_0583/tillsynsmail/S 297-2023 tillsynsbegäran mail.docx", "S 297-2023")</f>
        <v/>
      </c>
    </row>
    <row r="6" ht="15" customHeight="1">
      <c r="A6" t="inlineStr">
        <is>
          <t>A 30637-2022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44763</v>
      </c>
      <c r="E6" s="1" t="n">
        <v>46226</v>
      </c>
      <c r="F6" t="inlineStr">
        <is>
          <t>ÖSTERGÖTLANDS LÄN</t>
        </is>
      </c>
      <c r="G6" t="inlineStr">
        <is>
          <t>MOTALA</t>
        </is>
      </c>
      <c r="H6" t="inlineStr">
        <is>
          <t>Sveaskog</t>
        </is>
      </c>
      <c r="I6" t="n">
        <v>5.1</v>
      </c>
      <c r="J6" t="n">
        <v>2</v>
      </c>
      <c r="K6" t="n">
        <v>2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7</v>
      </c>
      <c r="T6" t="n">
        <v>10</v>
      </c>
      <c r="U6" t="n">
        <v>1</v>
      </c>
      <c r="V6" s="2" t="inlineStr">
        <is>
          <t>Knärot
Taggfingersvamp
Scharlakansvaxing
Ullticka
Blodvaxing
Skuggmossa
Blåsippa</t>
        </is>
      </c>
      <c r="W6">
        <f>HYPERLINK("https://klasma.github.io/Logging_0583/artfynd/A 30637-2022 artfynd.xlsx", "A 30637-2022")</f>
        <v/>
      </c>
      <c r="X6">
        <f>HYPERLINK("https://klasma.github.io/Logging_0583/kartor/A 30637-2022 karta.png", "A 30637-2022")</f>
        <v/>
      </c>
      <c r="Y6">
        <f>HYPERLINK("https://klasma.github.io/Logging_0583/kartor_geotiff/A 30637-2022 georefererad karta.tif", "A 30637-2022")</f>
        <v/>
      </c>
      <c r="Z6">
        <f>HYPERLINK("https://klasma.github.io/Logging_0583/knärot/A 30637-2022 karta knärot.png", "A 30637-2022")</f>
        <v/>
      </c>
      <c r="AA6">
        <f>HYPERLINK("https://klasma.github.io/Logging_0583/klagomål/A 30637-2022 FSC-klagomål.docx", "A 30637-2022")</f>
        <v/>
      </c>
      <c r="AB6">
        <f>HYPERLINK("https://klasma.github.io/Logging_0583/klagomålsmail/A 30637-2022 FSC-klagomål mail.docx", "A 30637-2022")</f>
        <v/>
      </c>
      <c r="AC6">
        <f>HYPERLINK("https://klasma.github.io/Logging_0583/tillsyn/A 30637-2022 tillsynsbegäran.docx", "A 30637-2022")</f>
        <v/>
      </c>
      <c r="AD6">
        <f>HYPERLINK("https://klasma.github.io/Logging_0583/tillsynsmail/A 30637-2022 tillsynsbegäran mail.docx", "A 30637-2022")</f>
        <v/>
      </c>
    </row>
    <row r="7" ht="15" customHeight="1">
      <c r="A7" t="inlineStr">
        <is>
          <t>A 40801-2025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45897</v>
      </c>
      <c r="E7" s="1" t="n">
        <v>46226</v>
      </c>
      <c r="F7" t="inlineStr">
        <is>
          <t>ÖSTERGÖTLANDS LÄN</t>
        </is>
      </c>
      <c r="G7" t="inlineStr">
        <is>
          <t>MOTALA</t>
        </is>
      </c>
      <c r="I7" t="n">
        <v>11.4</v>
      </c>
      <c r="J7" t="n">
        <v>2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10</v>
      </c>
      <c r="U7" t="n">
        <v>10</v>
      </c>
      <c r="V7" s="2" t="inlineStr">
        <is>
          <t>Raggbock
Dropptaggsvamp
Talltita
Mindre märgborre
Thomsons trägnagare
Vågbandad barkbock
Spillkråka</t>
        </is>
      </c>
      <c r="W7">
        <f>HYPERLINK("https://klasma.github.io/Logging_0583/artfynd/A 40801-2025 artfynd.xlsx", "A 40801-2025")</f>
        <v/>
      </c>
      <c r="X7">
        <f>HYPERLINK("https://klasma.github.io/Logging_0583/kartor/A 40801-2025 karta.png", "A 40801-2025")</f>
        <v/>
      </c>
      <c r="Y7">
        <f>HYPERLINK("https://klasma.github.io/Logging_0583/kartor_geotiff/A 40801-2025 georefererad karta.tif", "A 40801-2025")</f>
        <v/>
      </c>
      <c r="AA7">
        <f>HYPERLINK("https://klasma.github.io/Logging_0583/klagomål/A 40801-2025 FSC-klagomål.docx", "A 40801-2025")</f>
        <v/>
      </c>
      <c r="AB7">
        <f>HYPERLINK("https://klasma.github.io/Logging_0583/klagomålsmail/A 40801-2025 FSC-klagomål mail.docx", "A 40801-2025")</f>
        <v/>
      </c>
      <c r="AC7">
        <f>HYPERLINK("https://klasma.github.io/Logging_0583/tillsyn/A 40801-2025 tillsynsbegäran.docx", "A 40801-2025")</f>
        <v/>
      </c>
      <c r="AD7">
        <f>HYPERLINK("https://klasma.github.io/Logging_0583/tillsynsmail/A 40801-2025 tillsynsbegäran mail.docx", "A 40801-2025")</f>
        <v/>
      </c>
      <c r="AE7">
        <f>HYPERLINK("https://klasma.github.io/Logging_0583/fåglar/A 40801-2025 prioriterade fågelarter.docx", "A 40801-2025")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46226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S 433-2024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45337</v>
      </c>
      <c r="E9" s="1" t="n">
        <v>46226</v>
      </c>
      <c r="F9" t="inlineStr">
        <is>
          <t>ÖSTERGÖTLANDS LÄN</t>
        </is>
      </c>
      <c r="G9" t="inlineStr">
        <is>
          <t>MOTALA</t>
        </is>
      </c>
      <c r="I9" t="n">
        <v>3.2</v>
      </c>
      <c r="J9" t="n">
        <v>1</v>
      </c>
      <c r="K9" t="n">
        <v>4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7</v>
      </c>
      <c r="T9" t="n">
        <v>16</v>
      </c>
      <c r="U9" t="n">
        <v>1</v>
      </c>
      <c r="V9" s="2" t="inlineStr">
        <is>
          <t>Ask
Korndådra
Brun nållav
Hasselticka
Hässleklocka
Svart trolldruva
Blåsippa</t>
        </is>
      </c>
      <c r="W9">
        <f>HYPERLINK("https://klasma.github.io/Logging_0583/artfynd/S 433-2024 artfynd.xlsx", "S 433-2024")</f>
        <v/>
      </c>
      <c r="X9">
        <f>HYPERLINK("https://klasma.github.io/Logging_0583/kartor/S 433-2024 karta.png", "S 433-2024")</f>
        <v/>
      </c>
      <c r="Y9">
        <f>HYPERLINK("https://klasma.github.io/Logging_0583/kartor_geotiff/S 433-2024 georefererad karta.tif", "S 433-2024")</f>
        <v/>
      </c>
      <c r="AA9">
        <f>HYPERLINK("https://klasma.github.io/Logging_0583/klagomål/S 433-2024 FSC-klagomål.docx", "S 433-2024")</f>
        <v/>
      </c>
      <c r="AB9">
        <f>HYPERLINK("https://klasma.github.io/Logging_0583/klagomålsmail/S 433-2024 FSC-klagomål mail.docx", "S 433-2024")</f>
        <v/>
      </c>
      <c r="AC9">
        <f>HYPERLINK("https://klasma.github.io/Logging_0583/tillsyn/S 433-2024 tillsynsbegäran.docx", "S 433-2024")</f>
        <v/>
      </c>
      <c r="AD9">
        <f>HYPERLINK("https://klasma.github.io/Logging_0583/tillsynsmail/S 433-2024 tillsynsbegäran mail.docx", "S 433-2024")</f>
        <v/>
      </c>
    </row>
    <row r="10" ht="15" customHeight="1">
      <c r="A10" t="inlineStr">
        <is>
          <t>S 2331-2025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45884</v>
      </c>
      <c r="E10" s="1" t="n">
        <v>46226</v>
      </c>
      <c r="F10" t="inlineStr">
        <is>
          <t>ÖSTERGÖTLANDS LÄN</t>
        </is>
      </c>
      <c r="G10" t="inlineStr">
        <is>
          <t>MOTALA</t>
        </is>
      </c>
      <c r="H10" t="inlineStr">
        <is>
          <t>Kommuner</t>
        </is>
      </c>
      <c r="I10" t="n">
        <v>1.8</v>
      </c>
      <c r="J10" t="n">
        <v>4</v>
      </c>
      <c r="K10" t="n">
        <v>1</v>
      </c>
      <c r="L10" t="n">
        <v>1</v>
      </c>
      <c r="M10" t="n">
        <v>0</v>
      </c>
      <c r="N10" t="n">
        <v>2</v>
      </c>
      <c r="O10" t="n">
        <v>0</v>
      </c>
      <c r="P10" t="n">
        <v>0</v>
      </c>
      <c r="Q10" t="n">
        <v>3</v>
      </c>
      <c r="R10" t="n">
        <v>2</v>
      </c>
      <c r="S10" t="n">
        <v>7</v>
      </c>
      <c r="T10" t="n">
        <v>7</v>
      </c>
      <c r="U10" t="n">
        <v>0</v>
      </c>
      <c r="V10" s="2" t="inlineStr">
        <is>
          <t>Ask
Skogsalm
Nordfladdermus
Gulpudrad spiklav
Större brunfladdermus
Tajgafladdermus
Vattenfladdermus</t>
        </is>
      </c>
      <c r="W10">
        <f>HYPERLINK("https://klasma.github.io/Logging_0583/artfynd/S 2331-2025 artfynd.xlsx", "S 2331-2025")</f>
        <v/>
      </c>
      <c r="X10">
        <f>HYPERLINK("https://klasma.github.io/Logging_0583/kartor/S 2331-2025 karta.png", "S 2331-2025")</f>
        <v/>
      </c>
      <c r="Y10">
        <f>HYPERLINK("https://klasma.github.io/Logging_0583/kartor_geotiff/S 2331-2025 georefererad karta.tif", "S 2331-2025")</f>
        <v/>
      </c>
      <c r="AA10">
        <f>HYPERLINK("https://klasma.github.io/Logging_0583/klagomål/S 2331-2025 FSC-klagomål.docx", "S 2331-2025")</f>
        <v/>
      </c>
      <c r="AB10">
        <f>HYPERLINK("https://klasma.github.io/Logging_0583/klagomålsmail/S 2331-2025 FSC-klagomål mail.docx", "S 2331-2025")</f>
        <v/>
      </c>
      <c r="AC10">
        <f>HYPERLINK("https://klasma.github.io/Logging_0583/tillsyn/S 2331-2025 tillsynsbegäran.docx", "S 2331-2025")</f>
        <v/>
      </c>
      <c r="AD10">
        <f>HYPERLINK("https://klasma.github.io/Logging_0583/tillsynsmail/S 2331-2025 tillsynsbegäran mail.docx", "S 2331-2025")</f>
        <v/>
      </c>
    </row>
    <row r="11" ht="15" customHeight="1">
      <c r="A11" t="inlineStr">
        <is>
          <t>A 28395-2022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44747</v>
      </c>
      <c r="E11" s="1" t="n">
        <v>46226</v>
      </c>
      <c r="F11" t="inlineStr">
        <is>
          <t>ÖSTERGÖTLANDS LÄN</t>
        </is>
      </c>
      <c r="G11" t="inlineStr">
        <is>
          <t>MOTALA</t>
        </is>
      </c>
      <c r="I11" t="n">
        <v>8.300000000000001</v>
      </c>
      <c r="J11" t="n">
        <v>6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6</v>
      </c>
      <c r="T11" t="n">
        <v>6</v>
      </c>
      <c r="U11" t="n">
        <v>6</v>
      </c>
      <c r="V11" s="2" t="inlineStr">
        <is>
          <t>Skogsgås
Nattskärra
Tjäder
Gröngöling
Grönsiska
Sångsvan</t>
        </is>
      </c>
      <c r="W11">
        <f>HYPERLINK("https://klasma.github.io/Logging_0583/artfynd/A 28395-2022 artfynd.xlsx", "A 28395-2022")</f>
        <v/>
      </c>
      <c r="X11">
        <f>HYPERLINK("https://klasma.github.io/Logging_0583/kartor/A 28395-2022 karta.png", "A 28395-2022")</f>
        <v/>
      </c>
      <c r="Y11">
        <f>HYPERLINK("https://klasma.github.io/Logging_0583/kartor_geotiff/A 28395-2022 georefererad karta.tif", "A 28395-2022")</f>
        <v/>
      </c>
      <c r="AA11">
        <f>HYPERLINK("https://klasma.github.io/Logging_0583/klagomål/A 28395-2022 FSC-klagomål.docx", "A 28395-2022")</f>
        <v/>
      </c>
      <c r="AB11">
        <f>HYPERLINK("https://klasma.github.io/Logging_0583/klagomålsmail/A 28395-2022 FSC-klagomål mail.docx", "A 28395-2022")</f>
        <v/>
      </c>
      <c r="AC11">
        <f>HYPERLINK("https://klasma.github.io/Logging_0583/tillsyn/A 28395-2022 tillsynsbegäran.docx", "A 28395-2022")</f>
        <v/>
      </c>
      <c r="AD11">
        <f>HYPERLINK("https://klasma.github.io/Logging_0583/tillsynsmail/A 28395-2022 tillsynsbegäran mail.docx", "A 28395-2022")</f>
        <v/>
      </c>
      <c r="AE11">
        <f>HYPERLINK("https://klasma.github.io/Logging_0583/fåglar/A 28395-2022 prioriterade fågelarter.docx", "A 28395-2022")</f>
        <v/>
      </c>
    </row>
    <row r="12" ht="15" customHeight="1">
      <c r="A12" t="inlineStr">
        <is>
          <t>A 17738-2026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46226</v>
      </c>
      <c r="F12" t="inlineStr">
        <is>
          <t>ÖSTERGÖTLANDS LÄN</t>
        </is>
      </c>
      <c r="G12" t="inlineStr">
        <is>
          <t>MOTALA</t>
        </is>
      </c>
      <c r="H12" t="inlineStr">
        <is>
          <t>Sveaskog</t>
        </is>
      </c>
      <c r="I12" t="n">
        <v>8.699999999999999</v>
      </c>
      <c r="J12" t="n">
        <v>2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10</v>
      </c>
      <c r="U12" t="n">
        <v>10</v>
      </c>
      <c r="V12" s="2" t="inlineStr">
        <is>
          <t>Knärot
Gullpudra
Björksplintborre
Thomsons trägnagare
Vågbandad barkbock
Blåsippa</t>
        </is>
      </c>
      <c r="W12">
        <f>HYPERLINK("https://klasma.github.io/Logging_0583/artfynd/A 17738-2026 artfynd.xlsx", "A 17738-2026")</f>
        <v/>
      </c>
      <c r="X12">
        <f>HYPERLINK("https://klasma.github.io/Logging_0583/kartor/A 17738-2026 karta.png", "A 17738-2026")</f>
        <v/>
      </c>
      <c r="Y12">
        <f>HYPERLINK("https://klasma.github.io/Logging_0583/kartor_geotiff/A 17738-2026 georefererad karta.tif", "A 17738-2026")</f>
        <v/>
      </c>
      <c r="Z12">
        <f>HYPERLINK("https://klasma.github.io/Logging_0583/knärot/A 17738-2026 karta knärot.png", "A 17738-2026")</f>
        <v/>
      </c>
      <c r="AA12">
        <f>HYPERLINK("https://klasma.github.io/Logging_0583/klagomål/A 17738-2026 FSC-klagomål.docx", "A 17738-2026")</f>
        <v/>
      </c>
      <c r="AB12">
        <f>HYPERLINK("https://klasma.github.io/Logging_0583/klagomålsmail/A 17738-2026 FSC-klagomål mail.docx", "A 17738-2026")</f>
        <v/>
      </c>
      <c r="AC12">
        <f>HYPERLINK("https://klasma.github.io/Logging_0583/tillsyn/A 17738-2026 tillsynsbegäran.docx", "A 17738-2026")</f>
        <v/>
      </c>
      <c r="AD12">
        <f>HYPERLINK("https://klasma.github.io/Logging_0583/tillsynsmail/A 17738-2026 tillsynsbegäran mail.docx", "A 17738-2026")</f>
        <v/>
      </c>
    </row>
    <row r="13" ht="15" customHeight="1">
      <c r="A13" t="inlineStr">
        <is>
          <t>A 63217-2025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46010</v>
      </c>
      <c r="E13" s="1" t="n">
        <v>46226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9.699999999999999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9</v>
      </c>
      <c r="U13" t="n">
        <v>7</v>
      </c>
      <c r="V13" s="2" t="inlineStr">
        <is>
          <t>Dropptaggsvamp
Gropticka
Tallticka
Bronshjon
Mindre märgborre
Spillkråka</t>
        </is>
      </c>
      <c r="W13">
        <f>HYPERLINK("https://klasma.github.io/Logging_0583/artfynd/A 63217-2025 artfynd.xlsx", "A 63217-2025")</f>
        <v/>
      </c>
      <c r="X13">
        <f>HYPERLINK("https://klasma.github.io/Logging_0583/kartor/A 63217-2025 karta.png", "A 63217-2025")</f>
        <v/>
      </c>
      <c r="Y13">
        <f>HYPERLINK("https://klasma.github.io/Logging_0583/kartor_geotiff/A 63217-2025 georefererad karta.tif", "A 63217-2025")</f>
        <v/>
      </c>
      <c r="AA13">
        <f>HYPERLINK("https://klasma.github.io/Logging_0583/klagomål/A 63217-2025 FSC-klagomål.docx", "A 63217-2025")</f>
        <v/>
      </c>
      <c r="AB13">
        <f>HYPERLINK("https://klasma.github.io/Logging_0583/klagomålsmail/A 63217-2025 FSC-klagomål mail.docx", "A 63217-2025")</f>
        <v/>
      </c>
      <c r="AC13">
        <f>HYPERLINK("https://klasma.github.io/Logging_0583/tillsyn/A 63217-2025 tillsynsbegäran.docx", "A 63217-2025")</f>
        <v/>
      </c>
      <c r="AD13">
        <f>HYPERLINK("https://klasma.github.io/Logging_0583/tillsynsmail/A 63217-2025 tillsynsbegäran mail.docx", "A 63217-2025")</f>
        <v/>
      </c>
      <c r="AE13">
        <f>HYPERLINK("https://klasma.github.io/Logging_0583/fåglar/A 63217-2025 prioriterade fågelarter.docx", "A 63217-2025")</f>
        <v/>
      </c>
    </row>
    <row r="14" ht="15" customHeight="1">
      <c r="A14" t="inlineStr">
        <is>
          <t>A 27273-2026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46226</v>
      </c>
      <c r="F14" t="inlineStr">
        <is>
          <t>ÖSTERGÖTLANDS LÄN</t>
        </is>
      </c>
      <c r="G14" t="inlineStr">
        <is>
          <t>MOTALA</t>
        </is>
      </c>
      <c r="H14" t="inlineStr">
        <is>
          <t>Holmen skog AB</t>
        </is>
      </c>
      <c r="I14" t="n">
        <v>1.1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Thomsons trägnagare
Vågbandad barkbock
Bergsslok
Ekbräken
Hultbräken
Spillkråka</t>
        </is>
      </c>
      <c r="W14">
        <f>HYPERLINK("https://klasma.github.io/Logging_0583/artfynd/A 27273-2026 artfynd.xlsx", "A 27273-2026")</f>
        <v/>
      </c>
      <c r="X14">
        <f>HYPERLINK("https://klasma.github.io/Logging_0583/kartor/A 27273-2026 karta.png", "A 27273-2026")</f>
        <v/>
      </c>
      <c r="Y14">
        <f>HYPERLINK("https://klasma.github.io/Logging_0583/kartor_geotiff/A 27273-2026 georefererad karta.tif", "A 27273-2026")</f>
        <v/>
      </c>
      <c r="AA14">
        <f>HYPERLINK("https://klasma.github.io/Logging_0583/klagomål/A 27273-2026 FSC-klagomål.docx", "A 27273-2026")</f>
        <v/>
      </c>
      <c r="AB14">
        <f>HYPERLINK("https://klasma.github.io/Logging_0583/klagomålsmail/A 27273-2026 FSC-klagomål mail.docx", "A 27273-2026")</f>
        <v/>
      </c>
      <c r="AC14">
        <f>HYPERLINK("https://klasma.github.io/Logging_0583/tillsyn/A 27273-2026 tillsynsbegäran.docx", "A 27273-2026")</f>
        <v/>
      </c>
      <c r="AD14">
        <f>HYPERLINK("https://klasma.github.io/Logging_0583/tillsynsmail/A 27273-2026 tillsynsbegäran mail.docx", "A 27273-2026")</f>
        <v/>
      </c>
      <c r="AE14">
        <f>HYPERLINK("https://klasma.github.io/Logging_0583/fåglar/A 27273-2026 prioriterade fågelarter.docx", "A 27273-2026")</f>
        <v/>
      </c>
    </row>
    <row r="15" ht="15" customHeight="1">
      <c r="A15" t="inlineStr">
        <is>
          <t>A 27925-2026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46191</v>
      </c>
      <c r="E15" s="1" t="n">
        <v>46226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2.2</v>
      </c>
      <c r="J15" t="n">
        <v>4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6</v>
      </c>
      <c r="U15" t="n">
        <v>6</v>
      </c>
      <c r="V15" s="2" t="inlineStr">
        <is>
          <t>Grönfink
Talltita
Björksplintborre
Vågbandad barkbock
Tofsmes
Revlummer</t>
        </is>
      </c>
      <c r="W15">
        <f>HYPERLINK("https://klasma.github.io/Logging_0583/artfynd/A 27925-2026 artfynd.xlsx", "A 27925-2026")</f>
        <v/>
      </c>
      <c r="X15">
        <f>HYPERLINK("https://klasma.github.io/Logging_0583/kartor/A 27925-2026 karta.png", "A 27925-2026")</f>
        <v/>
      </c>
      <c r="Y15">
        <f>HYPERLINK("https://klasma.github.io/Logging_0583/kartor_geotiff/A 27925-2026 georefererad karta.tif", "A 27925-2026")</f>
        <v/>
      </c>
      <c r="AA15">
        <f>HYPERLINK("https://klasma.github.io/Logging_0583/klagomål/A 27925-2026 FSC-klagomål.docx", "A 27925-2026")</f>
        <v/>
      </c>
      <c r="AB15">
        <f>HYPERLINK("https://klasma.github.io/Logging_0583/klagomålsmail/A 27925-2026 FSC-klagomål mail.docx", "A 27925-2026")</f>
        <v/>
      </c>
      <c r="AC15">
        <f>HYPERLINK("https://klasma.github.io/Logging_0583/tillsyn/A 27925-2026 tillsynsbegäran.docx", "A 27925-2026")</f>
        <v/>
      </c>
      <c r="AD15">
        <f>HYPERLINK("https://klasma.github.io/Logging_0583/tillsynsmail/A 27925-2026 tillsynsbegäran mail.docx", "A 27925-2026")</f>
        <v/>
      </c>
      <c r="AE15">
        <f>HYPERLINK("https://klasma.github.io/Logging_0583/fåglar/A 27925-2026 prioriterade fågelarter.docx", "A 27925-2026")</f>
        <v/>
      </c>
    </row>
    <row r="16" ht="15" customHeight="1">
      <c r="A16" t="inlineStr">
        <is>
          <t>S 2590-2024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45476</v>
      </c>
      <c r="E16" s="1" t="n">
        <v>46226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4.3</v>
      </c>
      <c r="J16" t="n">
        <v>2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14</v>
      </c>
      <c r="U16" t="n">
        <v>13</v>
      </c>
      <c r="V16" s="2" t="inlineStr">
        <is>
          <t>Motaggsvamp
Tallticka
Talltita
Björksplintborre
Spillkråka</t>
        </is>
      </c>
      <c r="W16">
        <f>HYPERLINK("https://klasma.github.io/Logging_0583/artfynd/S 2590-2024 artfynd.xlsx", "S 2590-2024")</f>
        <v/>
      </c>
      <c r="X16">
        <f>HYPERLINK("https://klasma.github.io/Logging_0583/kartor/S 2590-2024 karta.png", "S 2590-2024")</f>
        <v/>
      </c>
      <c r="Y16">
        <f>HYPERLINK("https://klasma.github.io/Logging_0583/kartor_geotiff/S 2590-2024 georefererad karta.tif", "S 2590-2024")</f>
        <v/>
      </c>
      <c r="AA16">
        <f>HYPERLINK("https://klasma.github.io/Logging_0583/klagomål/S 2590-2024 FSC-klagomål.docx", "S 2590-2024")</f>
        <v/>
      </c>
      <c r="AB16">
        <f>HYPERLINK("https://klasma.github.io/Logging_0583/klagomålsmail/S 2590-2024 FSC-klagomål mail.docx", "S 2590-2024")</f>
        <v/>
      </c>
      <c r="AC16">
        <f>HYPERLINK("https://klasma.github.io/Logging_0583/tillsyn/S 2590-2024 tillsynsbegäran.docx", "S 2590-2024")</f>
        <v/>
      </c>
      <c r="AD16">
        <f>HYPERLINK("https://klasma.github.io/Logging_0583/tillsynsmail/S 2590-2024 tillsynsbegäran mail.docx", "S 2590-2024")</f>
        <v/>
      </c>
      <c r="AE16">
        <f>HYPERLINK("https://klasma.github.io/Logging_0583/fåglar/S 2590-2024 prioriterade fågelarter.docx", "S 2590-2024")</f>
        <v/>
      </c>
    </row>
    <row r="17" ht="15" customHeight="1">
      <c r="A17" t="inlineStr">
        <is>
          <t>A 17736-2026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46122</v>
      </c>
      <c r="E17" s="1" t="n">
        <v>46226</v>
      </c>
      <c r="F17" t="inlineStr">
        <is>
          <t>ÖSTERGÖTLANDS LÄN</t>
        </is>
      </c>
      <c r="G17" t="inlineStr">
        <is>
          <t>MOTALA</t>
        </is>
      </c>
      <c r="H17" t="inlineStr">
        <is>
          <t>Sveaskog</t>
        </is>
      </c>
      <c r="I17" t="n">
        <v>2.4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Järnsparv
Talltita
Björksplintborre
Grönsiska</t>
        </is>
      </c>
      <c r="W17">
        <f>HYPERLINK("https://klasma.github.io/Logging_0583/artfynd/A 17736-2026 artfynd.xlsx", "A 17736-2026")</f>
        <v/>
      </c>
      <c r="X17">
        <f>HYPERLINK("https://klasma.github.io/Logging_0583/kartor/A 17736-2026 karta.png", "A 17736-2026")</f>
        <v/>
      </c>
      <c r="Y17">
        <f>HYPERLINK("https://klasma.github.io/Logging_0583/kartor_geotiff/A 17736-2026 georefererad karta.tif", "A 17736-2026")</f>
        <v/>
      </c>
      <c r="AA17">
        <f>HYPERLINK("https://klasma.github.io/Logging_0583/klagomål/A 17736-2026 FSC-klagomål.docx", "A 17736-2026")</f>
        <v/>
      </c>
      <c r="AB17">
        <f>HYPERLINK("https://klasma.github.io/Logging_0583/klagomålsmail/A 17736-2026 FSC-klagomål mail.docx", "A 17736-2026")</f>
        <v/>
      </c>
      <c r="AC17">
        <f>HYPERLINK("https://klasma.github.io/Logging_0583/tillsyn/A 17736-2026 tillsynsbegäran.docx", "A 17736-2026")</f>
        <v/>
      </c>
      <c r="AD17">
        <f>HYPERLINK("https://klasma.github.io/Logging_0583/tillsynsmail/A 17736-2026 tillsynsbegäran mail.docx", "A 17736-2026")</f>
        <v/>
      </c>
      <c r="AE17">
        <f>HYPERLINK("https://klasma.github.io/Logging_0583/fåglar/A 17736-2026 prioriterade fågelarter.docx", "A 17736-2026")</f>
        <v/>
      </c>
    </row>
    <row r="18" ht="15" customHeight="1">
      <c r="A18" t="inlineStr">
        <is>
          <t>A 3721-2023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46226</v>
      </c>
      <c r="F18" t="inlineStr">
        <is>
          <t>ÖSTERGÖTLANDS LÄN</t>
        </is>
      </c>
      <c r="G18" t="inlineStr">
        <is>
          <t>MOTALA</t>
        </is>
      </c>
      <c r="H18" t="inlineStr">
        <is>
          <t>Kommuner</t>
        </is>
      </c>
      <c r="I18" t="n">
        <v>4.7</v>
      </c>
      <c r="J18" t="n">
        <v>2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2</v>
      </c>
      <c r="V18" s="2" t="inlineStr">
        <is>
          <t>Knärot
Flagellkvastmossa
Kornknutmossa
Kungsfågel</t>
        </is>
      </c>
      <c r="W18">
        <f>HYPERLINK("https://klasma.github.io/Logging_0583/artfynd/A 3721-2023 artfynd.xlsx", "A 3721-2023")</f>
        <v/>
      </c>
      <c r="X18">
        <f>HYPERLINK("https://klasma.github.io/Logging_0583/kartor/A 3721-2023 karta.png", "A 3721-2023")</f>
        <v/>
      </c>
      <c r="Y18">
        <f>HYPERLINK("https://klasma.github.io/Logging_0583/kartor_geotiff/A 3721-2023 georefererad karta.tif", "A 3721-2023")</f>
        <v/>
      </c>
      <c r="Z18">
        <f>HYPERLINK("https://klasma.github.io/Logging_0583/knärot/A 3721-2023 karta knärot.png", "A 3721-2023")</f>
        <v/>
      </c>
      <c r="AA18">
        <f>HYPERLINK("https://klasma.github.io/Logging_0583/klagomål/A 3721-2023 FSC-klagomål.docx", "A 3721-2023")</f>
        <v/>
      </c>
      <c r="AB18">
        <f>HYPERLINK("https://klasma.github.io/Logging_0583/klagomålsmail/A 3721-2023 FSC-klagomål mail.docx", "A 3721-2023")</f>
        <v/>
      </c>
      <c r="AC18">
        <f>HYPERLINK("https://klasma.github.io/Logging_0583/tillsyn/A 3721-2023 tillsynsbegäran.docx", "A 3721-2023")</f>
        <v/>
      </c>
      <c r="AD18">
        <f>HYPERLINK("https://klasma.github.io/Logging_0583/tillsynsmail/A 3721-2023 tillsynsbegäran mail.docx", "A 3721-2023")</f>
        <v/>
      </c>
    </row>
    <row r="19" ht="15" customHeight="1">
      <c r="A19" t="inlineStr">
        <is>
          <t>S 1687-2025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45804</v>
      </c>
      <c r="E19" s="1" t="n">
        <v>46226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0.2</v>
      </c>
      <c r="J19" t="n">
        <v>0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Gul dropplav
Brun nållav
Fällmossa
Gulpudrad spiklav</t>
        </is>
      </c>
      <c r="W19">
        <f>HYPERLINK("https://klasma.github.io/Logging_0583/artfynd/S 1687-2025 artfynd.xlsx", "S 1687-2025")</f>
        <v/>
      </c>
      <c r="X19">
        <f>HYPERLINK("https://klasma.github.io/Logging_0583/kartor/S 1687-2025 karta.png", "S 1687-2025")</f>
        <v/>
      </c>
      <c r="Y19">
        <f>HYPERLINK("https://klasma.github.io/Logging_0583/kartor_geotiff/S 1687-2025 georefererad karta.tif", "S 1687-2025")</f>
        <v/>
      </c>
      <c r="AA19">
        <f>HYPERLINK("https://klasma.github.io/Logging_0583/klagomål/S 1687-2025 FSC-klagomål.docx", "S 1687-2025")</f>
        <v/>
      </c>
      <c r="AB19">
        <f>HYPERLINK("https://klasma.github.io/Logging_0583/klagomålsmail/S 1687-2025 FSC-klagomål mail.docx", "S 1687-2025")</f>
        <v/>
      </c>
      <c r="AC19">
        <f>HYPERLINK("https://klasma.github.io/Logging_0583/tillsyn/S 1687-2025 tillsynsbegäran.docx", "S 1687-2025")</f>
        <v/>
      </c>
      <c r="AD19">
        <f>HYPERLINK("https://klasma.github.io/Logging_0583/tillsynsmail/S 1687-2025 tillsynsbegäran mail.docx", "S 1687-2025")</f>
        <v/>
      </c>
    </row>
    <row r="20" ht="15" customHeight="1">
      <c r="A20" t="inlineStr">
        <is>
          <t>A 1931-2025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45671</v>
      </c>
      <c r="E20" s="1" t="n">
        <v>46226</v>
      </c>
      <c r="F20" t="inlineStr">
        <is>
          <t>ÖSTERGÖTLANDS LÄN</t>
        </is>
      </c>
      <c r="G20" t="inlineStr">
        <is>
          <t>MOTALA</t>
        </is>
      </c>
      <c r="H20" t="inlineStr">
        <is>
          <t>Allmännings- och besparingsskogar</t>
        </is>
      </c>
      <c r="I20" t="n">
        <v>17.4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Grovticka
Tjäder
Nattviol</t>
        </is>
      </c>
      <c r="W20">
        <f>HYPERLINK("https://klasma.github.io/Logging_0583/artfynd/A 1931-2025 artfynd.xlsx", "A 1931-2025")</f>
        <v/>
      </c>
      <c r="X20">
        <f>HYPERLINK("https://klasma.github.io/Logging_0583/kartor/A 1931-2025 karta.png", "A 1931-2025")</f>
        <v/>
      </c>
      <c r="Y20">
        <f>HYPERLINK("https://klasma.github.io/Logging_0583/kartor_geotiff/A 1931-2025 georefererad karta.tif", "A 1931-2025")</f>
        <v/>
      </c>
      <c r="AA20">
        <f>HYPERLINK("https://klasma.github.io/Logging_0583/klagomål/A 1931-2025 FSC-klagomål.docx", "A 1931-2025")</f>
        <v/>
      </c>
      <c r="AB20">
        <f>HYPERLINK("https://klasma.github.io/Logging_0583/klagomålsmail/A 1931-2025 FSC-klagomål mail.docx", "A 1931-2025")</f>
        <v/>
      </c>
      <c r="AC20">
        <f>HYPERLINK("https://klasma.github.io/Logging_0583/tillsyn/A 1931-2025 tillsynsbegäran.docx", "A 1931-2025")</f>
        <v/>
      </c>
      <c r="AD20">
        <f>HYPERLINK("https://klasma.github.io/Logging_0583/tillsynsmail/A 1931-2025 tillsynsbegäran mail.docx", "A 1931-2025")</f>
        <v/>
      </c>
      <c r="AE20">
        <f>HYPERLINK("https://klasma.github.io/Logging_0583/fåglar/A 1931-2025 prioriterade fågelarter.docx", "A 1931-2025")</f>
        <v/>
      </c>
    </row>
    <row r="21" ht="15" customHeight="1">
      <c r="A21" t="inlineStr">
        <is>
          <t>A 11145-2026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46080</v>
      </c>
      <c r="E21" s="1" t="n">
        <v>46226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10.9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Tallticka
Björksplintborre
Spillkråka</t>
        </is>
      </c>
      <c r="W21">
        <f>HYPERLINK("https://klasma.github.io/Logging_0583/artfynd/A 11145-2026 artfynd.xlsx", "A 11145-2026")</f>
        <v/>
      </c>
      <c r="X21">
        <f>HYPERLINK("https://klasma.github.io/Logging_0583/kartor/A 11145-2026 karta.png", "A 11145-2026")</f>
        <v/>
      </c>
      <c r="Y21">
        <f>HYPERLINK("https://klasma.github.io/Logging_0583/kartor_geotiff/A 11145-2026 georefererad karta.tif", "A 11145-2026")</f>
        <v/>
      </c>
      <c r="AA21">
        <f>HYPERLINK("https://klasma.github.io/Logging_0583/klagomål/A 11145-2026 FSC-klagomål.docx", "A 11145-2026")</f>
        <v/>
      </c>
      <c r="AB21">
        <f>HYPERLINK("https://klasma.github.io/Logging_0583/klagomålsmail/A 11145-2026 FSC-klagomål mail.docx", "A 11145-2026")</f>
        <v/>
      </c>
      <c r="AC21">
        <f>HYPERLINK("https://klasma.github.io/Logging_0583/tillsyn/A 11145-2026 tillsynsbegäran.docx", "A 11145-2026")</f>
        <v/>
      </c>
      <c r="AD21">
        <f>HYPERLINK("https://klasma.github.io/Logging_0583/tillsynsmail/A 11145-2026 tillsynsbegäran mail.docx", "A 11145-2026")</f>
        <v/>
      </c>
      <c r="AE21">
        <f>HYPERLINK("https://klasma.github.io/Logging_0583/fåglar/A 11145-2026 prioriterade fågelarter.docx", "A 11145-2026")</f>
        <v/>
      </c>
    </row>
    <row r="22" ht="15" customHeight="1">
      <c r="A22" t="inlineStr">
        <is>
          <t>A 49690-2024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45596</v>
      </c>
      <c r="E22" s="1" t="n">
        <v>46226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11.4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Tallticka
Mindre märgborre
Revlummer</t>
        </is>
      </c>
      <c r="W22">
        <f>HYPERLINK("https://klasma.github.io/Logging_0583/artfynd/A 49690-2024 artfynd.xlsx", "A 49690-2024")</f>
        <v/>
      </c>
      <c r="X22">
        <f>HYPERLINK("https://klasma.github.io/Logging_0583/kartor/A 49690-2024 karta.png", "A 49690-2024")</f>
        <v/>
      </c>
      <c r="Y22">
        <f>HYPERLINK("https://klasma.github.io/Logging_0583/kartor_geotiff/A 49690-2024 georefererad karta.tif", "A 49690-2024")</f>
        <v/>
      </c>
      <c r="AA22">
        <f>HYPERLINK("https://klasma.github.io/Logging_0583/klagomål/A 49690-2024 FSC-klagomål.docx", "A 49690-2024")</f>
        <v/>
      </c>
      <c r="AB22">
        <f>HYPERLINK("https://klasma.github.io/Logging_0583/klagomålsmail/A 49690-2024 FSC-klagomål mail.docx", "A 49690-2024")</f>
        <v/>
      </c>
      <c r="AC22">
        <f>HYPERLINK("https://klasma.github.io/Logging_0583/tillsyn/A 49690-2024 tillsynsbegäran.docx", "A 49690-2024")</f>
        <v/>
      </c>
      <c r="AD22">
        <f>HYPERLINK("https://klasma.github.io/Logging_0583/tillsynsmail/A 49690-2024 tillsynsbegäran mail.docx", "A 49690-2024")</f>
        <v/>
      </c>
    </row>
    <row r="23" ht="15" customHeight="1">
      <c r="A23" t="inlineStr">
        <is>
          <t>S 3349-2024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45531</v>
      </c>
      <c r="E23" s="1" t="n">
        <v>46226</v>
      </c>
      <c r="F23" t="inlineStr">
        <is>
          <t>ÖSTERGÖTLANDS LÄN</t>
        </is>
      </c>
      <c r="G23" t="inlineStr">
        <is>
          <t>MOTALA</t>
        </is>
      </c>
      <c r="I23" t="n">
        <v>6.6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Vårärt
Fällmossa
Svart trolldruva</t>
        </is>
      </c>
      <c r="W23">
        <f>HYPERLINK("https://klasma.github.io/Logging_0583/artfynd/S 3349-2024 artfynd.xlsx", "S 3349-2024")</f>
        <v/>
      </c>
      <c r="X23">
        <f>HYPERLINK("https://klasma.github.io/Logging_0583/kartor/S 3349-2024 karta.png", "S 3349-2024")</f>
        <v/>
      </c>
      <c r="Y23">
        <f>HYPERLINK("https://klasma.github.io/Logging_0583/kartor_geotiff/S 3349-2024 georefererad karta.tif", "S 3349-2024")</f>
        <v/>
      </c>
      <c r="AA23">
        <f>HYPERLINK("https://klasma.github.io/Logging_0583/klagomål/S 3349-2024 FSC-klagomål.docx", "S 3349-2024")</f>
        <v/>
      </c>
      <c r="AB23">
        <f>HYPERLINK("https://klasma.github.io/Logging_0583/klagomålsmail/S 3349-2024 FSC-klagomål mail.docx", "S 3349-2024")</f>
        <v/>
      </c>
      <c r="AC23">
        <f>HYPERLINK("https://klasma.github.io/Logging_0583/tillsyn/S 3349-2024 tillsynsbegäran.docx", "S 3349-2024")</f>
        <v/>
      </c>
      <c r="AD23">
        <f>HYPERLINK("https://klasma.github.io/Logging_0583/tillsynsmail/S 3349-2024 tillsynsbegäran mail.docx", "S 3349-2024")</f>
        <v/>
      </c>
    </row>
    <row r="24" ht="15" customHeight="1">
      <c r="A24" t="inlineStr">
        <is>
          <t>S 422-2026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46071</v>
      </c>
      <c r="E24" s="1" t="n">
        <v>46226</v>
      </c>
      <c r="F24" t="inlineStr">
        <is>
          <t>ÖSTERGÖTLANDS LÄN</t>
        </is>
      </c>
      <c r="G24" t="inlineStr">
        <is>
          <t>MOTALA</t>
        </is>
      </c>
      <c r="I24" t="n">
        <v>3.1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1</v>
      </c>
      <c r="V24" s="2" t="inlineStr">
        <is>
          <t>Buskvicker
Brun nållav
Kopparödla</t>
        </is>
      </c>
      <c r="W24">
        <f>HYPERLINK("https://klasma.github.io/Logging_0583/artfynd/S 422-2026 artfynd.xlsx", "S 422-2026")</f>
        <v/>
      </c>
      <c r="X24">
        <f>HYPERLINK("https://klasma.github.io/Logging_0583/kartor/S 422-2026 karta.png", "S 422-2026")</f>
        <v/>
      </c>
      <c r="Y24">
        <f>HYPERLINK("https://klasma.github.io/Logging_0583/kartor_geotiff/S 422-2026 georefererad karta.tif", "S 422-2026")</f>
        <v/>
      </c>
      <c r="AA24">
        <f>HYPERLINK("https://klasma.github.io/Logging_0583/klagomål/S 422-2026 FSC-klagomål.docx", "S 422-2026")</f>
        <v/>
      </c>
      <c r="AB24">
        <f>HYPERLINK("https://klasma.github.io/Logging_0583/klagomålsmail/S 422-2026 FSC-klagomål mail.docx", "S 422-2026")</f>
        <v/>
      </c>
      <c r="AC24">
        <f>HYPERLINK("https://klasma.github.io/Logging_0583/tillsyn/S 422-2026 tillsynsbegäran.docx", "S 422-2026")</f>
        <v/>
      </c>
      <c r="AD24">
        <f>HYPERLINK("https://klasma.github.io/Logging_0583/tillsynsmail/S 422-2026 tillsynsbegäran mail.docx", "S 422-2026")</f>
        <v/>
      </c>
    </row>
    <row r="25" ht="15" customHeight="1">
      <c r="A25" t="inlineStr">
        <is>
          <t>A 18894-2023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45044</v>
      </c>
      <c r="E25" s="1" t="n">
        <v>46226</v>
      </c>
      <c r="F25" t="inlineStr">
        <is>
          <t>ÖSTERGÖTLANDS LÄN</t>
        </is>
      </c>
      <c r="G25" t="inlineStr">
        <is>
          <t>MOTALA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2</v>
      </c>
      <c r="T25" t="n">
        <v>11</v>
      </c>
      <c r="U25" t="n">
        <v>0</v>
      </c>
      <c r="V25" s="2" t="inlineStr">
        <is>
          <t>Ask
Skogsalm</t>
        </is>
      </c>
      <c r="W25">
        <f>HYPERLINK("https://klasma.github.io/Logging_0583/artfynd/A 18894-2023 artfynd.xlsx", "A 18894-2023")</f>
        <v/>
      </c>
      <c r="X25">
        <f>HYPERLINK("https://klasma.github.io/Logging_0583/kartor/A 18894-2023 karta.png", "A 18894-2023")</f>
        <v/>
      </c>
      <c r="Y25">
        <f>HYPERLINK("https://klasma.github.io/Logging_0583/kartor_geotiff/A 18894-2023 georefererad karta.tif", "A 18894-2023")</f>
        <v/>
      </c>
      <c r="AA25">
        <f>HYPERLINK("https://klasma.github.io/Logging_0583/klagomål/A 18894-2023 FSC-klagomål.docx", "A 18894-2023")</f>
        <v/>
      </c>
      <c r="AB25">
        <f>HYPERLINK("https://klasma.github.io/Logging_0583/klagomålsmail/A 18894-2023 FSC-klagomål mail.docx", "A 18894-2023")</f>
        <v/>
      </c>
      <c r="AC25">
        <f>HYPERLINK("https://klasma.github.io/Logging_0583/tillsyn/A 18894-2023 tillsynsbegäran.docx", "A 18894-2023")</f>
        <v/>
      </c>
      <c r="AD25">
        <f>HYPERLINK("https://klasma.github.io/Logging_0583/tillsynsmail/A 18894-2023 tillsynsbegäran mail.docx", "A 18894-2023")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46226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20820-2026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46226</v>
      </c>
      <c r="F27" t="inlineStr">
        <is>
          <t>ÖSTERGÖTLANDS LÄN</t>
        </is>
      </c>
      <c r="G27" t="inlineStr">
        <is>
          <t>MOTALA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Bergsslok
Storrams</t>
        </is>
      </c>
      <c r="W27">
        <f>HYPERLINK("https://klasma.github.io/Logging_0583/artfynd/A 20820-2026 artfynd.xlsx", "A 20820-2026")</f>
        <v/>
      </c>
      <c r="X27">
        <f>HYPERLINK("https://klasma.github.io/Logging_0583/kartor/A 20820-2026 karta.png", "A 20820-2026")</f>
        <v/>
      </c>
      <c r="Y27">
        <f>HYPERLINK("https://klasma.github.io/Logging_0583/kartor_geotiff/A 20820-2026 georefererad karta.tif", "A 20820-2026")</f>
        <v/>
      </c>
      <c r="AA27">
        <f>HYPERLINK("https://klasma.github.io/Logging_0583/klagomål/A 20820-2026 FSC-klagomål.docx", "A 20820-2026")</f>
        <v/>
      </c>
      <c r="AB27">
        <f>HYPERLINK("https://klasma.github.io/Logging_0583/klagomålsmail/A 20820-2026 FSC-klagomål mail.docx", "A 20820-2026")</f>
        <v/>
      </c>
      <c r="AC27">
        <f>HYPERLINK("https://klasma.github.io/Logging_0583/tillsyn/A 20820-2026 tillsynsbegäran.docx", "A 20820-2026")</f>
        <v/>
      </c>
      <c r="AD27">
        <f>HYPERLINK("https://klasma.github.io/Logging_0583/tillsynsmail/A 20820-2026 tillsynsbegäran mail.docx", "A 20820-2026")</f>
        <v/>
      </c>
    </row>
    <row r="28" ht="15" customHeight="1">
      <c r="A28" t="inlineStr">
        <is>
          <t>A 27887-2026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46191</v>
      </c>
      <c r="E28" s="1" t="n">
        <v>46226</v>
      </c>
      <c r="F28" t="inlineStr">
        <is>
          <t>ÖSTERGÖTLANDS LÄN</t>
        </is>
      </c>
      <c r="G28" t="inlineStr">
        <is>
          <t>MOTALA</t>
        </is>
      </c>
      <c r="H28" t="inlineStr">
        <is>
          <t>Holmen skog AB</t>
        </is>
      </c>
      <c r="I28" t="n">
        <v>4.8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Tibast
Blåsippa</t>
        </is>
      </c>
      <c r="W28">
        <f>HYPERLINK("https://klasma.github.io/Logging_0583/artfynd/A 27887-2026 artfynd.xlsx", "A 27887-2026")</f>
        <v/>
      </c>
      <c r="X28">
        <f>HYPERLINK("https://klasma.github.io/Logging_0583/kartor/A 27887-2026 karta.png", "A 27887-2026")</f>
        <v/>
      </c>
      <c r="Y28">
        <f>HYPERLINK("https://klasma.github.io/Logging_0583/kartor_geotiff/A 27887-2026 georefererad karta.tif", "A 27887-2026")</f>
        <v/>
      </c>
      <c r="AA28">
        <f>HYPERLINK("https://klasma.github.io/Logging_0583/klagomål/A 27887-2026 FSC-klagomål.docx", "A 27887-2026")</f>
        <v/>
      </c>
      <c r="AB28">
        <f>HYPERLINK("https://klasma.github.io/Logging_0583/klagomålsmail/A 27887-2026 FSC-klagomål mail.docx", "A 27887-2026")</f>
        <v/>
      </c>
      <c r="AC28">
        <f>HYPERLINK("https://klasma.github.io/Logging_0583/tillsyn/A 27887-2026 tillsynsbegäran.docx", "A 27887-2026")</f>
        <v/>
      </c>
      <c r="AD28">
        <f>HYPERLINK("https://klasma.github.io/Logging_0583/tillsynsmail/A 27887-2026 tillsynsbegäran mail.docx", "A 27887-2026")</f>
        <v/>
      </c>
    </row>
    <row r="29" ht="15" customHeight="1">
      <c r="A29" t="inlineStr">
        <is>
          <t>A 2153-2026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46226</v>
      </c>
      <c r="F29" t="inlineStr">
        <is>
          <t>ÖSTERGÖTLANDS LÄN</t>
        </is>
      </c>
      <c r="G29" t="inlineStr">
        <is>
          <t>MOTALA</t>
        </is>
      </c>
      <c r="I29" t="n">
        <v>2.8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Blomkålssvamp
Mattlummer</t>
        </is>
      </c>
      <c r="W29">
        <f>HYPERLINK("https://klasma.github.io/Logging_0583/artfynd/A 2153-2026 artfynd.xlsx", "A 2153-2026")</f>
        <v/>
      </c>
      <c r="X29">
        <f>HYPERLINK("https://klasma.github.io/Logging_0583/kartor/A 2153-2026 karta.png", "A 2153-2026")</f>
        <v/>
      </c>
      <c r="Y29">
        <f>HYPERLINK("https://klasma.github.io/Logging_0583/kartor_geotiff/A 2153-2026 georefererad karta.tif", "A 2153-2026")</f>
        <v/>
      </c>
      <c r="AA29">
        <f>HYPERLINK("https://klasma.github.io/Logging_0583/klagomål/A 2153-2026 FSC-klagomål.docx", "A 2153-2026")</f>
        <v/>
      </c>
      <c r="AB29">
        <f>HYPERLINK("https://klasma.github.io/Logging_0583/klagomålsmail/A 2153-2026 FSC-klagomål mail.docx", "A 2153-2026")</f>
        <v/>
      </c>
      <c r="AC29">
        <f>HYPERLINK("https://klasma.github.io/Logging_0583/tillsyn/A 2153-2026 tillsynsbegäran.docx", "A 2153-2026")</f>
        <v/>
      </c>
      <c r="AD29">
        <f>HYPERLINK("https://klasma.github.io/Logging_0583/tillsynsmail/A 2153-2026 tillsynsbegäran mail.docx", "A 2153-2026")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46226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46226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S 247-2025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45684</v>
      </c>
      <c r="E32" s="1" t="n">
        <v>46226</v>
      </c>
      <c r="F32" t="inlineStr">
        <is>
          <t>ÖSTERGÖTLANDS LÄN</t>
        </is>
      </c>
      <c r="G32" t="inlineStr">
        <is>
          <t>MOTALA</t>
        </is>
      </c>
      <c r="H32" t="inlineStr">
        <is>
          <t>Sveaskog</t>
        </is>
      </c>
      <c r="I32" t="n">
        <v>0.4</v>
      </c>
      <c r="J32" t="n">
        <v>1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0</v>
      </c>
      <c r="V32" s="2" t="inlineStr">
        <is>
          <t>Knärot
Blåmossa</t>
        </is>
      </c>
      <c r="W32">
        <f>HYPERLINK("https://klasma.github.io/Logging_0583/artfynd/S 247-2025 artfynd.xlsx", "S 247-2025")</f>
        <v/>
      </c>
      <c r="X32">
        <f>HYPERLINK("https://klasma.github.io/Logging_0583/kartor/S 247-2025 karta.png", "S 247-2025")</f>
        <v/>
      </c>
      <c r="Y32">
        <f>HYPERLINK("https://klasma.github.io/Logging_0583/kartor_geotiff/S 247-2025 georefererad karta.tif", "S 247-2025")</f>
        <v/>
      </c>
      <c r="Z32">
        <f>HYPERLINK("https://klasma.github.io/Logging_0583/knärot/S 247-2025 karta knärot.png", "S 247-2025")</f>
        <v/>
      </c>
      <c r="AA32">
        <f>HYPERLINK("https://klasma.github.io/Logging_0583/klagomål/S 247-2025 FSC-klagomål.docx", "S 247-2025")</f>
        <v/>
      </c>
      <c r="AB32">
        <f>HYPERLINK("https://klasma.github.io/Logging_0583/klagomålsmail/S 247-2025 FSC-klagomål mail.docx", "S 247-2025")</f>
        <v/>
      </c>
      <c r="AC32">
        <f>HYPERLINK("https://klasma.github.io/Logging_0583/tillsyn/S 247-2025 tillsynsbegäran.docx", "S 247-2025")</f>
        <v/>
      </c>
      <c r="AD32">
        <f>HYPERLINK("https://klasma.github.io/Logging_0583/tillsynsmail/S 247-2025 tillsynsbegäran mail.docx", "S 247-2025")</f>
        <v/>
      </c>
    </row>
    <row r="33" ht="15" customHeight="1">
      <c r="A33" t="inlineStr">
        <is>
          <t>A 72192-2021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44544</v>
      </c>
      <c r="E33" s="1" t="n">
        <v>46226</v>
      </c>
      <c r="F33" t="inlineStr">
        <is>
          <t>ÖSTERGÖTLANDS LÄN</t>
        </is>
      </c>
      <c r="G33" t="inlineStr">
        <is>
          <t>MOTALA</t>
        </is>
      </c>
      <c r="H33" t="inlineStr">
        <is>
          <t>Sveaskog</t>
        </is>
      </c>
      <c r="I33" t="n">
        <v>4.6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HYPERLINK("https://klasma.github.io/Logging_0583/artfynd/A 72192-2021 artfynd.xlsx", "A 72192-2021")</f>
        <v/>
      </c>
      <c r="X33">
        <f>HYPERLINK("https://klasma.github.io/Logging_0583/kartor/A 72192-2021 karta.png", "A 72192-2021")</f>
        <v/>
      </c>
      <c r="Y33">
        <f>HYPERLINK("https://klasma.github.io/Logging_0583/kartor_geotiff/A 72192-2021 georefererad karta.tif", "A 72192-2021")</f>
        <v/>
      </c>
      <c r="AA33">
        <f>HYPERLINK("https://klasma.github.io/Logging_0583/klagomål/A 72192-2021 FSC-klagomål.docx", "A 72192-2021")</f>
        <v/>
      </c>
      <c r="AB33">
        <f>HYPERLINK("https://klasma.github.io/Logging_0583/klagomålsmail/A 72192-2021 FSC-klagomål mail.docx", "A 72192-2021")</f>
        <v/>
      </c>
      <c r="AC33">
        <f>HYPERLINK("https://klasma.github.io/Logging_0583/tillsyn/A 72192-2021 tillsynsbegäran.docx", "A 72192-2021")</f>
        <v/>
      </c>
      <c r="AD33">
        <f>HYPERLINK("https://klasma.github.io/Logging_0583/tillsynsmail/A 72192-2021 tillsynsbegäran mail.docx", "A 72192-2021")</f>
        <v/>
      </c>
    </row>
    <row r="34" ht="15" customHeight="1">
      <c r="A34" t="inlineStr">
        <is>
          <t>A 72847-2021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44547</v>
      </c>
      <c r="E34" s="1" t="n">
        <v>46226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2.2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HYPERLINK("https://klasma.github.io/Logging_0583/artfynd/A 72847-2021 artfynd.xlsx", "A 72847-2021")</f>
        <v/>
      </c>
      <c r="X34">
        <f>HYPERLINK("https://klasma.github.io/Logging_0583/kartor/A 72847-2021 karta.png", "A 72847-2021")</f>
        <v/>
      </c>
      <c r="Y34">
        <f>HYPERLINK("https://klasma.github.io/Logging_0583/kartor_geotiff/A 72847-2021 georefererad karta.tif", "A 72847-2021")</f>
        <v/>
      </c>
      <c r="AA34">
        <f>HYPERLINK("https://klasma.github.io/Logging_0583/klagomål/A 72847-2021 FSC-klagomål.docx", "A 72847-2021")</f>
        <v/>
      </c>
      <c r="AB34">
        <f>HYPERLINK("https://klasma.github.io/Logging_0583/klagomålsmail/A 72847-2021 FSC-klagomål mail.docx", "A 72847-2021")</f>
        <v/>
      </c>
      <c r="AC34">
        <f>HYPERLINK("https://klasma.github.io/Logging_0583/tillsyn/A 72847-2021 tillsynsbegäran.docx", "A 72847-2021")</f>
        <v/>
      </c>
      <c r="AD34">
        <f>HYPERLINK("https://klasma.github.io/Logging_0583/tillsynsmail/A 72847-2021 tillsynsbegäran mail.docx", "A 72847-2021")</f>
        <v/>
      </c>
    </row>
    <row r="35" ht="15" customHeight="1">
      <c r="A35" t="inlineStr">
        <is>
          <t>A 39620-2021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44413</v>
      </c>
      <c r="E35" s="1" t="n">
        <v>46226</v>
      </c>
      <c r="F35" t="inlineStr">
        <is>
          <t>ÖSTERGÖTLANDS LÄN</t>
        </is>
      </c>
      <c r="G35" t="inlineStr">
        <is>
          <t>MOTALA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Huggorm</t>
        </is>
      </c>
      <c r="W35">
        <f>HYPERLINK("https://klasma.github.io/Logging_0583/artfynd/A 39620-2021 artfynd.xlsx", "A 39620-2021")</f>
        <v/>
      </c>
      <c r="X35">
        <f>HYPERLINK("https://klasma.github.io/Logging_0583/kartor/A 39620-2021 karta.png", "A 39620-2021")</f>
        <v/>
      </c>
      <c r="Y35">
        <f>HYPERLINK("https://klasma.github.io/Logging_0583/kartor_geotiff/A 39620-2021 georefererad karta.tif", "A 39620-2021")</f>
        <v/>
      </c>
      <c r="AA35">
        <f>HYPERLINK("https://klasma.github.io/Logging_0583/klagomål/A 39620-2021 FSC-klagomål.docx", "A 39620-2021")</f>
        <v/>
      </c>
      <c r="AB35">
        <f>HYPERLINK("https://klasma.github.io/Logging_0583/klagomålsmail/A 39620-2021 FSC-klagomål mail.docx", "A 39620-2021")</f>
        <v/>
      </c>
      <c r="AC35">
        <f>HYPERLINK("https://klasma.github.io/Logging_0583/tillsyn/A 39620-2021 tillsynsbegäran.docx", "A 39620-2021")</f>
        <v/>
      </c>
      <c r="AD35">
        <f>HYPERLINK("https://klasma.github.io/Logging_0583/tillsynsmail/A 39620-2021 tillsynsbegäran mail.docx", "A 39620-2021")</f>
        <v/>
      </c>
    </row>
    <row r="36" ht="15" customHeight="1">
      <c r="A36" t="inlineStr">
        <is>
          <t>A 42001-2022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44827</v>
      </c>
      <c r="E36" s="1" t="n">
        <v>46226</v>
      </c>
      <c r="F36" t="inlineStr">
        <is>
          <t>ÖSTERGÖTLANDS LÄN</t>
        </is>
      </c>
      <c r="G36" t="inlineStr">
        <is>
          <t>MOTALA</t>
        </is>
      </c>
      <c r="H36" t="inlineStr">
        <is>
          <t>Övriga statliga verk och myndigheter</t>
        </is>
      </c>
      <c r="I36" t="n">
        <v>17.5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Pärluggla</t>
        </is>
      </c>
      <c r="W36">
        <f>HYPERLINK("https://klasma.github.io/Logging_0583/artfynd/A 42001-2022 artfynd.xlsx", "A 42001-2022")</f>
        <v/>
      </c>
      <c r="X36">
        <f>HYPERLINK("https://klasma.github.io/Logging_0583/kartor/A 42001-2022 karta.png", "A 42001-2022")</f>
        <v/>
      </c>
      <c r="Y36">
        <f>HYPERLINK("https://klasma.github.io/Logging_0583/kartor_geotiff/A 42001-2022 georefererad karta.tif", "A 42001-2022")</f>
        <v/>
      </c>
      <c r="AA36">
        <f>HYPERLINK("https://klasma.github.io/Logging_0583/klagomål/A 42001-2022 FSC-klagomål.docx", "A 42001-2022")</f>
        <v/>
      </c>
      <c r="AB36">
        <f>HYPERLINK("https://klasma.github.io/Logging_0583/klagomålsmail/A 42001-2022 FSC-klagomål mail.docx", "A 42001-2022")</f>
        <v/>
      </c>
      <c r="AC36">
        <f>HYPERLINK("https://klasma.github.io/Logging_0583/tillsyn/A 42001-2022 tillsynsbegäran.docx", "A 42001-2022")</f>
        <v/>
      </c>
      <c r="AD36">
        <f>HYPERLINK("https://klasma.github.io/Logging_0583/tillsynsmail/A 42001-2022 tillsynsbegäran mail.docx", "A 42001-2022")</f>
        <v/>
      </c>
      <c r="AE36">
        <f>HYPERLINK("https://klasma.github.io/Logging_0583/fåglar/A 42001-2022 prioriterade fågelarter.docx", "A 42001-2022")</f>
        <v/>
      </c>
    </row>
    <row r="37" ht="15" customHeight="1">
      <c r="A37" t="inlineStr">
        <is>
          <t>A 21991-2023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46226</v>
      </c>
      <c r="F37" t="inlineStr">
        <is>
          <t>ÖSTERGÖTLANDS LÄN</t>
        </is>
      </c>
      <c r="G37" t="inlineStr">
        <is>
          <t>MOTALA</t>
        </is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Vedtrappmossa</t>
        </is>
      </c>
      <c r="W37">
        <f>HYPERLINK("https://klasma.github.io/Logging_0583/artfynd/A 21991-2023 artfynd.xlsx", "A 21991-2023")</f>
        <v/>
      </c>
      <c r="X37">
        <f>HYPERLINK("https://klasma.github.io/Logging_0583/kartor/A 21991-2023 karta.png", "A 21991-2023")</f>
        <v/>
      </c>
      <c r="Y37">
        <f>HYPERLINK("https://klasma.github.io/Logging_0583/kartor_geotiff/A 21991-2023 georefererad karta.tif", "A 21991-2023")</f>
        <v/>
      </c>
      <c r="AA37">
        <f>HYPERLINK("https://klasma.github.io/Logging_0583/klagomål/A 21991-2023 FSC-klagomål.docx", "A 21991-2023")</f>
        <v/>
      </c>
      <c r="AB37">
        <f>HYPERLINK("https://klasma.github.io/Logging_0583/klagomålsmail/A 21991-2023 FSC-klagomål mail.docx", "A 21991-2023")</f>
        <v/>
      </c>
      <c r="AC37">
        <f>HYPERLINK("https://klasma.github.io/Logging_0583/tillsyn/A 21991-2023 tillsynsbegäran.docx", "A 21991-2023")</f>
        <v/>
      </c>
      <c r="AD37">
        <f>HYPERLINK("https://klasma.github.io/Logging_0583/tillsynsmail/A 21991-2023 tillsynsbegäran mail.docx", "A 21991-2023")</f>
        <v/>
      </c>
    </row>
    <row r="38" ht="15" customHeight="1">
      <c r="A38" t="inlineStr">
        <is>
          <t>A 47332-2025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46226</v>
      </c>
      <c r="F38" t="inlineStr">
        <is>
          <t>ÖSTERGÖTLANDS LÄN</t>
        </is>
      </c>
      <c r="G38" t="inlineStr">
        <is>
          <t>MOTALA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Skogsalm</t>
        </is>
      </c>
      <c r="W38">
        <f>HYPERLINK("https://klasma.github.io/Logging_0583/artfynd/A 47332-2025 artfynd.xlsx", "A 47332-2025")</f>
        <v/>
      </c>
      <c r="X38">
        <f>HYPERLINK("https://klasma.github.io/Logging_0583/kartor/A 47332-2025 karta.png", "A 47332-2025")</f>
        <v/>
      </c>
      <c r="Y38">
        <f>HYPERLINK("https://klasma.github.io/Logging_0583/kartor_geotiff/A 47332-2025 georefererad karta.tif", "A 47332-2025")</f>
        <v/>
      </c>
      <c r="AA38">
        <f>HYPERLINK("https://klasma.github.io/Logging_0583/klagomål/A 47332-2025 FSC-klagomål.docx", "A 47332-2025")</f>
        <v/>
      </c>
      <c r="AB38">
        <f>HYPERLINK("https://klasma.github.io/Logging_0583/klagomålsmail/A 47332-2025 FSC-klagomål mail.docx", "A 47332-2025")</f>
        <v/>
      </c>
      <c r="AC38">
        <f>HYPERLINK("https://klasma.github.io/Logging_0583/tillsyn/A 47332-2025 tillsynsbegäran.docx", "A 47332-2025")</f>
        <v/>
      </c>
      <c r="AD38">
        <f>HYPERLINK("https://klasma.github.io/Logging_0583/tillsynsmail/A 47332-2025 tillsynsbegäran mail.docx", "A 47332-2025")</f>
        <v/>
      </c>
    </row>
    <row r="39" ht="15" customHeight="1">
      <c r="A39" t="inlineStr">
        <is>
          <t>A 17739-2026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46122</v>
      </c>
      <c r="E39" s="1" t="n">
        <v>46226</v>
      </c>
      <c r="F39" t="inlineStr">
        <is>
          <t>ÖSTERGÖTLANDS LÄN</t>
        </is>
      </c>
      <c r="G39" t="inlineStr">
        <is>
          <t>MOTALA</t>
        </is>
      </c>
      <c r="H39" t="inlineStr">
        <is>
          <t>Sveaskog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Spillkråka</t>
        </is>
      </c>
      <c r="W39">
        <f>HYPERLINK("https://klasma.github.io/Logging_0583/artfynd/A 17739-2026 artfynd.xlsx", "A 17739-2026")</f>
        <v/>
      </c>
      <c r="X39">
        <f>HYPERLINK("https://klasma.github.io/Logging_0583/kartor/A 17739-2026 karta.png", "A 17739-2026")</f>
        <v/>
      </c>
      <c r="Y39">
        <f>HYPERLINK("https://klasma.github.io/Logging_0583/kartor_geotiff/A 17739-2026 georefererad karta.tif", "A 17739-2026")</f>
        <v/>
      </c>
      <c r="AA39">
        <f>HYPERLINK("https://klasma.github.io/Logging_0583/klagomål/A 17739-2026 FSC-klagomål.docx", "A 17739-2026")</f>
        <v/>
      </c>
      <c r="AB39">
        <f>HYPERLINK("https://klasma.github.io/Logging_0583/klagomålsmail/A 17739-2026 FSC-klagomål mail.docx", "A 17739-2026")</f>
        <v/>
      </c>
      <c r="AC39">
        <f>HYPERLINK("https://klasma.github.io/Logging_0583/tillsyn/A 17739-2026 tillsynsbegäran.docx", "A 17739-2026")</f>
        <v/>
      </c>
      <c r="AD39">
        <f>HYPERLINK("https://klasma.github.io/Logging_0583/tillsynsmail/A 17739-2026 tillsynsbegäran mail.docx", "A 17739-2026")</f>
        <v/>
      </c>
      <c r="AE39">
        <f>HYPERLINK("https://klasma.github.io/Logging_0583/fåglar/A 17739-2026 prioriterade fågelarter.docx", "A 17739-2026")</f>
        <v/>
      </c>
    </row>
    <row r="40" ht="15" customHeight="1">
      <c r="A40" t="inlineStr">
        <is>
          <t>A 17740-2026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46122</v>
      </c>
      <c r="E40" s="1" t="n">
        <v>46226</v>
      </c>
      <c r="F40" t="inlineStr">
        <is>
          <t>ÖSTERGÖTLANDS LÄN</t>
        </is>
      </c>
      <c r="G40" t="inlineStr">
        <is>
          <t>MOTALA</t>
        </is>
      </c>
      <c r="H40" t="inlineStr">
        <is>
          <t>Sveaskog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Blåsippa</t>
        </is>
      </c>
      <c r="W40">
        <f>HYPERLINK("https://klasma.github.io/Logging_0583/artfynd/A 17740-2026 artfynd.xlsx", "A 17740-2026")</f>
        <v/>
      </c>
      <c r="X40">
        <f>HYPERLINK("https://klasma.github.io/Logging_0583/kartor/A 17740-2026 karta.png", "A 17740-2026")</f>
        <v/>
      </c>
      <c r="Y40">
        <f>HYPERLINK("https://klasma.github.io/Logging_0583/kartor_geotiff/A 17740-2026 georefererad karta.tif", "A 17740-2026")</f>
        <v/>
      </c>
      <c r="AA40">
        <f>HYPERLINK("https://klasma.github.io/Logging_0583/klagomål/A 17740-2026 FSC-klagomål.docx", "A 17740-2026")</f>
        <v/>
      </c>
      <c r="AB40">
        <f>HYPERLINK("https://klasma.github.io/Logging_0583/klagomålsmail/A 17740-2026 FSC-klagomål mail.docx", "A 17740-2026")</f>
        <v/>
      </c>
      <c r="AC40">
        <f>HYPERLINK("https://klasma.github.io/Logging_0583/tillsyn/A 17740-2026 tillsynsbegäran.docx", "A 17740-2026")</f>
        <v/>
      </c>
      <c r="AD40">
        <f>HYPERLINK("https://klasma.github.io/Logging_0583/tillsynsmail/A 17740-2026 tillsynsbegäran mail.docx", "A 17740-2026")</f>
        <v/>
      </c>
    </row>
    <row r="41" ht="15" customHeight="1">
      <c r="A41" t="inlineStr">
        <is>
          <t>A 44814-2025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45918</v>
      </c>
      <c r="E41" s="1" t="n">
        <v>46226</v>
      </c>
      <c r="F41" t="inlineStr">
        <is>
          <t>ÖSTERGÖTLANDS LÄN</t>
        </is>
      </c>
      <c r="G41" t="inlineStr">
        <is>
          <t>MOTALA</t>
        </is>
      </c>
      <c r="I41" t="n">
        <v>5.9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Gullklöver</t>
        </is>
      </c>
      <c r="W41">
        <f>HYPERLINK("https://klasma.github.io/Logging_0583/artfynd/A 44814-2025 artfynd.xlsx", "A 44814-2025")</f>
        <v/>
      </c>
      <c r="X41">
        <f>HYPERLINK("https://klasma.github.io/Logging_0583/kartor/A 44814-2025 karta.png", "A 44814-2025")</f>
        <v/>
      </c>
      <c r="Y41">
        <f>HYPERLINK("https://klasma.github.io/Logging_0583/kartor_geotiff/A 44814-2025 georefererad karta.tif", "A 44814-2025")</f>
        <v/>
      </c>
      <c r="AA41">
        <f>HYPERLINK("https://klasma.github.io/Logging_0583/klagomål/A 44814-2025 FSC-klagomål.docx", "A 44814-2025")</f>
        <v/>
      </c>
      <c r="AB41">
        <f>HYPERLINK("https://klasma.github.io/Logging_0583/klagomålsmail/A 44814-2025 FSC-klagomål mail.docx", "A 44814-2025")</f>
        <v/>
      </c>
      <c r="AC41">
        <f>HYPERLINK("https://klasma.github.io/Logging_0583/tillsyn/A 44814-2025 tillsynsbegäran.docx", "A 44814-2025")</f>
        <v/>
      </c>
      <c r="AD41">
        <f>HYPERLINK("https://klasma.github.io/Logging_0583/tillsynsmail/A 44814-2025 tillsynsbegäran mail.docx", "A 44814-2025")</f>
        <v/>
      </c>
    </row>
    <row r="42" ht="15" customHeight="1">
      <c r="A42" t="inlineStr">
        <is>
          <t>A 24554-2025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45798</v>
      </c>
      <c r="E42" s="1" t="n">
        <v>46226</v>
      </c>
      <c r="F42" t="inlineStr">
        <is>
          <t>ÖSTERGÖTLANDS LÄN</t>
        </is>
      </c>
      <c r="G42" t="inlineStr">
        <is>
          <t>MOTALA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Grönvit nattviol</t>
        </is>
      </c>
      <c r="W42">
        <f>HYPERLINK("https://klasma.github.io/Logging_0583/artfynd/A 24554-2025 artfynd.xlsx", "A 24554-2025")</f>
        <v/>
      </c>
      <c r="X42">
        <f>HYPERLINK("https://klasma.github.io/Logging_0583/kartor/A 24554-2025 karta.png", "A 24554-2025")</f>
        <v/>
      </c>
      <c r="Y42">
        <f>HYPERLINK("https://klasma.github.io/Logging_0583/kartor_geotiff/A 24554-2025 georefererad karta.tif", "A 24554-2025")</f>
        <v/>
      </c>
      <c r="AA42">
        <f>HYPERLINK("https://klasma.github.io/Logging_0583/klagomål/A 24554-2025 FSC-klagomål.docx", "A 24554-2025")</f>
        <v/>
      </c>
      <c r="AB42">
        <f>HYPERLINK("https://klasma.github.io/Logging_0583/klagomålsmail/A 24554-2025 FSC-klagomål mail.docx", "A 24554-2025")</f>
        <v/>
      </c>
      <c r="AC42">
        <f>HYPERLINK("https://klasma.github.io/Logging_0583/tillsyn/A 24554-2025 tillsynsbegäran.docx", "A 24554-2025")</f>
        <v/>
      </c>
      <c r="AD42">
        <f>HYPERLINK("https://klasma.github.io/Logging_0583/tillsynsmail/A 24554-2025 tillsynsbegäran mail.docx", "A 24554-2025")</f>
        <v/>
      </c>
    </row>
    <row r="43" ht="15" customHeight="1">
      <c r="A43" t="inlineStr">
        <is>
          <t>A 27907-2026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46191</v>
      </c>
      <c r="E43" s="1" t="n">
        <v>46226</v>
      </c>
      <c r="F43" t="inlineStr">
        <is>
          <t>ÖSTERGÖTLANDS LÄN</t>
        </is>
      </c>
      <c r="G43" t="inlineStr">
        <is>
          <t>MOTALA</t>
        </is>
      </c>
      <c r="H43" t="inlineStr">
        <is>
          <t>Holmen skog AB</t>
        </is>
      </c>
      <c r="I43" t="n">
        <v>3.6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Orre</t>
        </is>
      </c>
      <c r="W43">
        <f>HYPERLINK("https://klasma.github.io/Logging_0583/artfynd/A 27907-2026 artfynd.xlsx", "A 27907-2026")</f>
        <v/>
      </c>
      <c r="X43">
        <f>HYPERLINK("https://klasma.github.io/Logging_0583/kartor/A 27907-2026 karta.png", "A 27907-2026")</f>
        <v/>
      </c>
      <c r="Y43">
        <f>HYPERLINK("https://klasma.github.io/Logging_0583/kartor_geotiff/A 27907-2026 georefererad karta.tif", "A 27907-2026")</f>
        <v/>
      </c>
      <c r="AA43">
        <f>HYPERLINK("https://klasma.github.io/Logging_0583/klagomål/A 27907-2026 FSC-klagomål.docx", "A 27907-2026")</f>
        <v/>
      </c>
      <c r="AB43">
        <f>HYPERLINK("https://klasma.github.io/Logging_0583/klagomålsmail/A 27907-2026 FSC-klagomål mail.docx", "A 27907-2026")</f>
        <v/>
      </c>
      <c r="AC43">
        <f>HYPERLINK("https://klasma.github.io/Logging_0583/tillsyn/A 27907-2026 tillsynsbegäran.docx", "A 27907-2026")</f>
        <v/>
      </c>
      <c r="AD43">
        <f>HYPERLINK("https://klasma.github.io/Logging_0583/tillsynsmail/A 27907-2026 tillsynsbegäran mail.docx", "A 27907-2026")</f>
        <v/>
      </c>
      <c r="AE43">
        <f>HYPERLINK("https://klasma.github.io/Logging_0583/fåglar/A 27907-2026 prioriterade fågelarter.docx", "A 27907-2026")</f>
        <v/>
      </c>
    </row>
    <row r="44" ht="15" customHeight="1">
      <c r="A44" t="inlineStr">
        <is>
          <t>A 2194-2023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46226</v>
      </c>
      <c r="F44" t="inlineStr">
        <is>
          <t>ÖSTERGÖTLANDS LÄN</t>
        </is>
      </c>
      <c r="G44" t="inlineStr">
        <is>
          <t>MOTALA</t>
        </is>
      </c>
      <c r="I44" t="n">
        <v>3.9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Fiskgjuse</t>
        </is>
      </c>
      <c r="W44">
        <f>HYPERLINK("https://klasma.github.io/Logging_0583/artfynd/A 2194-2023 artfynd.xlsx", "A 2194-2023")</f>
        <v/>
      </c>
      <c r="X44">
        <f>HYPERLINK("https://klasma.github.io/Logging_0583/kartor/A 2194-2023 karta.png", "A 2194-2023")</f>
        <v/>
      </c>
      <c r="Y44">
        <f>HYPERLINK("https://klasma.github.io/Logging_0583/kartor_geotiff/A 2194-2023 georefererad karta.tif", "A 2194-2023")</f>
        <v/>
      </c>
      <c r="AA44">
        <f>HYPERLINK("https://klasma.github.io/Logging_0583/klagomål/A 2194-2023 FSC-klagomål.docx", "A 2194-2023")</f>
        <v/>
      </c>
      <c r="AB44">
        <f>HYPERLINK("https://klasma.github.io/Logging_0583/klagomålsmail/A 2194-2023 FSC-klagomål mail.docx", "A 2194-2023")</f>
        <v/>
      </c>
      <c r="AC44">
        <f>HYPERLINK("https://klasma.github.io/Logging_0583/tillsyn/A 2194-2023 tillsynsbegäran.docx", "A 2194-2023")</f>
        <v/>
      </c>
      <c r="AD44">
        <f>HYPERLINK("https://klasma.github.io/Logging_0583/tillsynsmail/A 2194-2023 tillsynsbegäran mail.docx", "A 2194-2023")</f>
        <v/>
      </c>
      <c r="AE44">
        <f>HYPERLINK("https://klasma.github.io/Logging_0583/fåglar/A 2194-2023 prioriterade fågelarter.docx", "A 2194-2023")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46226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HYPERLINK("https://klasma.github.io/Logging_0583/artfynd/A 18729-2025 artfynd.xlsx", "A 18729-2025")</f>
        <v/>
      </c>
      <c r="X45">
        <f>HYPERLINK("https://klasma.github.io/Logging_0583/kartor/A 18729-2025 karta.png", "A 18729-2025")</f>
        <v/>
      </c>
      <c r="Y45">
        <f>HYPERLINK("https://klasma.github.io/Logging_0583/kartor_geotiff/A 18729-2025 georefererad karta.tif", "A 18729-2025")</f>
        <v/>
      </c>
      <c r="AA45">
        <f>HYPERLINK("https://klasma.github.io/Logging_0583/klagomål/A 18729-2025 FSC-klagomål.docx", "A 18729-2025")</f>
        <v/>
      </c>
      <c r="AB45">
        <f>HYPERLINK("https://klasma.github.io/Logging_0583/klagomålsmail/A 18729-2025 FSC-klagomål mail.docx", "A 18729-2025")</f>
        <v/>
      </c>
      <c r="AC45">
        <f>HYPERLINK("https://klasma.github.io/Logging_0583/tillsyn/A 18729-2025 tillsynsbegäran.docx", "A 18729-2025")</f>
        <v/>
      </c>
      <c r="AD45">
        <f>HYPERLINK("https://klasma.github.io/Logging_0583/tillsynsmail/A 18729-2025 tillsynsbegäran mail.docx", "A 18729-2025")</f>
        <v/>
      </c>
    </row>
    <row r="46" ht="15" customHeight="1">
      <c r="A46" t="inlineStr">
        <is>
          <t>A 52523-2022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44874</v>
      </c>
      <c r="E46" s="1" t="n">
        <v>46226</v>
      </c>
      <c r="F46" t="inlineStr">
        <is>
          <t>ÖSTERGÖTLANDS LÄN</t>
        </is>
      </c>
      <c r="G46" t="inlineStr">
        <is>
          <t>MOTALA</t>
        </is>
      </c>
      <c r="H46" t="inlineStr">
        <is>
          <t>Kyrkan</t>
        </is>
      </c>
      <c r="I46" t="n">
        <v>6.7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4</v>
      </c>
      <c r="U46" t="n">
        <v>4</v>
      </c>
      <c r="V46" s="2" t="inlineStr">
        <is>
          <t>Fläcknycklar</t>
        </is>
      </c>
      <c r="W46">
        <f>HYPERLINK("https://klasma.github.io/Logging_0583/artfynd/A 52523-2022 artfynd.xlsx", "A 52523-2022")</f>
        <v/>
      </c>
      <c r="X46">
        <f>HYPERLINK("https://klasma.github.io/Logging_0583/kartor/A 52523-2022 karta.png", "A 52523-2022")</f>
        <v/>
      </c>
      <c r="Y46">
        <f>HYPERLINK("https://klasma.github.io/Logging_0583/kartor_geotiff/A 52523-2022 georefererad karta.tif", "A 52523-2022")</f>
        <v/>
      </c>
      <c r="AA46">
        <f>HYPERLINK("https://klasma.github.io/Logging_0583/klagomål/A 52523-2022 FSC-klagomål.docx", "A 52523-2022")</f>
        <v/>
      </c>
      <c r="AB46">
        <f>HYPERLINK("https://klasma.github.io/Logging_0583/klagomålsmail/A 52523-2022 FSC-klagomål mail.docx", "A 52523-2022")</f>
        <v/>
      </c>
      <c r="AC46">
        <f>HYPERLINK("https://klasma.github.io/Logging_0583/tillsyn/A 52523-2022 tillsynsbegäran.docx", "A 52523-2022")</f>
        <v/>
      </c>
      <c r="AD46">
        <f>HYPERLINK("https://klasma.github.io/Logging_0583/tillsynsmail/A 52523-2022 tillsynsbegäran mail.docx", "A 52523-2022")</f>
        <v/>
      </c>
    </row>
    <row r="47" ht="15" customHeight="1">
      <c r="A47" t="inlineStr">
        <is>
          <t>A 30955-2023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45103</v>
      </c>
      <c r="E47" s="1" t="n">
        <v>46226</v>
      </c>
      <c r="F47" t="inlineStr">
        <is>
          <t>ÖSTERGÖTLANDS LÄN</t>
        </is>
      </c>
      <c r="G47" t="inlineStr">
        <is>
          <t>MOTALA</t>
        </is>
      </c>
      <c r="H47" t="inlineStr">
        <is>
          <t>Övriga statliga verk och myndigheter</t>
        </is>
      </c>
      <c r="I47" t="n">
        <v>7.5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Tjäder</t>
        </is>
      </c>
      <c r="W47">
        <f>HYPERLINK("https://klasma.github.io/Logging_0583/artfynd/A 30955-2023 artfynd.xlsx", "A 30955-2023")</f>
        <v/>
      </c>
      <c r="X47">
        <f>HYPERLINK("https://klasma.github.io/Logging_0583/kartor/A 30955-2023 karta.png", "A 30955-2023")</f>
        <v/>
      </c>
      <c r="Y47">
        <f>HYPERLINK("https://klasma.github.io/Logging_0583/kartor_geotiff/A 30955-2023 georefererad karta.tif", "A 30955-2023")</f>
        <v/>
      </c>
      <c r="AA47">
        <f>HYPERLINK("https://klasma.github.io/Logging_0583/klagomål/A 30955-2023 FSC-klagomål.docx", "A 30955-2023")</f>
        <v/>
      </c>
      <c r="AB47">
        <f>HYPERLINK("https://klasma.github.io/Logging_0583/klagomålsmail/A 30955-2023 FSC-klagomål mail.docx", "A 30955-2023")</f>
        <v/>
      </c>
      <c r="AC47">
        <f>HYPERLINK("https://klasma.github.io/Logging_0583/tillsyn/A 30955-2023 tillsynsbegäran.docx", "A 30955-2023")</f>
        <v/>
      </c>
      <c r="AD47">
        <f>HYPERLINK("https://klasma.github.io/Logging_0583/tillsynsmail/A 30955-2023 tillsynsbegäran mail.docx", "A 30955-2023")</f>
        <v/>
      </c>
      <c r="AE47">
        <f>HYPERLINK("https://klasma.github.io/Logging_0583/fåglar/A 30955-2023 prioriterade fågelarter.docx", "A 30955-2023")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46226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50749-2024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45602</v>
      </c>
      <c r="E49" s="1" t="n">
        <v>46226</v>
      </c>
      <c r="F49" t="inlineStr">
        <is>
          <t>ÖSTERGÖTLANDS LÄN</t>
        </is>
      </c>
      <c r="G49" t="inlineStr">
        <is>
          <t>MOTALA</t>
        </is>
      </c>
      <c r="I49" t="n">
        <v>1.6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HYPERLINK("https://klasma.github.io/Logging_0583/artfynd/A 50749-2024 artfynd.xlsx", "A 50749-2024")</f>
        <v/>
      </c>
      <c r="X49">
        <f>HYPERLINK("https://klasma.github.io/Logging_0583/kartor/A 50749-2024 karta.png", "A 50749-2024")</f>
        <v/>
      </c>
      <c r="Y49">
        <f>HYPERLINK("https://klasma.github.io/Logging_0583/kartor_geotiff/A 50749-2024 georefererad karta.tif", "A 50749-2024")</f>
        <v/>
      </c>
      <c r="AA49">
        <f>HYPERLINK("https://klasma.github.io/Logging_0583/klagomål/A 50749-2024 FSC-klagomål.docx", "A 50749-2024")</f>
        <v/>
      </c>
      <c r="AB49">
        <f>HYPERLINK("https://klasma.github.io/Logging_0583/klagomålsmail/A 50749-2024 FSC-klagomål mail.docx", "A 50749-2024")</f>
        <v/>
      </c>
      <c r="AC49">
        <f>HYPERLINK("https://klasma.github.io/Logging_0583/tillsyn/A 50749-2024 tillsynsbegäran.docx", "A 50749-2024")</f>
        <v/>
      </c>
      <c r="AD49">
        <f>HYPERLINK("https://klasma.github.io/Logging_0583/tillsynsmail/A 50749-2024 tillsynsbegäran mail.docx", "A 50749-2024")</f>
        <v/>
      </c>
    </row>
    <row r="50" ht="15" customHeight="1">
      <c r="A50" t="inlineStr">
        <is>
          <t>A 24686-2024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45460</v>
      </c>
      <c r="E50" s="1" t="n">
        <v>46226</v>
      </c>
      <c r="F50" t="inlineStr">
        <is>
          <t>ÖSTERGÖTLANDS LÄN</t>
        </is>
      </c>
      <c r="G50" t="inlineStr">
        <is>
          <t>MOTALA</t>
        </is>
      </c>
      <c r="I50" t="n">
        <v>1.8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Skogsklocka</t>
        </is>
      </c>
      <c r="W50">
        <f>HYPERLINK("https://klasma.github.io/Logging_0583/artfynd/A 24686-2024 artfynd.xlsx", "A 24686-2024")</f>
        <v/>
      </c>
      <c r="X50">
        <f>HYPERLINK("https://klasma.github.io/Logging_0583/kartor/A 24686-2024 karta.png", "A 24686-2024")</f>
        <v/>
      </c>
      <c r="Y50">
        <f>HYPERLINK("https://klasma.github.io/Logging_0583/kartor_geotiff/A 24686-2024 georefererad karta.tif", "A 24686-2024")</f>
        <v/>
      </c>
      <c r="AA50">
        <f>HYPERLINK("https://klasma.github.io/Logging_0583/klagomål/A 24686-2024 FSC-klagomål.docx", "A 24686-2024")</f>
        <v/>
      </c>
      <c r="AB50">
        <f>HYPERLINK("https://klasma.github.io/Logging_0583/klagomålsmail/A 24686-2024 FSC-klagomål mail.docx", "A 24686-2024")</f>
        <v/>
      </c>
      <c r="AC50">
        <f>HYPERLINK("https://klasma.github.io/Logging_0583/tillsyn/A 24686-2024 tillsynsbegäran.docx", "A 24686-2024")</f>
        <v/>
      </c>
      <c r="AD50">
        <f>HYPERLINK("https://klasma.github.io/Logging_0583/tillsynsmail/A 24686-2024 tillsynsbegäran mail.docx", "A 24686-2024")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46226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273-2025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45685</v>
      </c>
      <c r="E52" s="1" t="n">
        <v>46226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0.5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5</v>
      </c>
      <c r="U52" t="n">
        <v>0</v>
      </c>
      <c r="V52" s="2" t="inlineStr">
        <is>
          <t>Knärot</t>
        </is>
      </c>
      <c r="W52">
        <f>HYPERLINK("https://klasma.github.io/Logging_0583/artfynd/S 273-2025 artfynd.xlsx", "S 273-2025")</f>
        <v/>
      </c>
      <c r="X52">
        <f>HYPERLINK("https://klasma.github.io/Logging_0583/kartor/S 273-2025 karta.png", "S 273-2025")</f>
        <v/>
      </c>
      <c r="Y52">
        <f>HYPERLINK("https://klasma.github.io/Logging_0583/kartor_geotiff/S 273-2025 georefererad karta.tif", "S 273-2025")</f>
        <v/>
      </c>
      <c r="Z52">
        <f>HYPERLINK("https://klasma.github.io/Logging_0583/knärot/S 273-2025 karta knärot.png", "S 273-2025")</f>
        <v/>
      </c>
      <c r="AA52">
        <f>HYPERLINK("https://klasma.github.io/Logging_0583/klagomål/S 273-2025 FSC-klagomål.docx", "S 273-2025")</f>
        <v/>
      </c>
      <c r="AB52">
        <f>HYPERLINK("https://klasma.github.io/Logging_0583/klagomålsmail/S 273-2025 FSC-klagomål mail.docx", "S 273-2025")</f>
        <v/>
      </c>
      <c r="AC52">
        <f>HYPERLINK("https://klasma.github.io/Logging_0583/tillsyn/S 273-2025 tillsynsbegäran.docx", "S 273-2025")</f>
        <v/>
      </c>
      <c r="AD52">
        <f>HYPERLINK("https://klasma.github.io/Logging_0583/tillsynsmail/S 273-2025 tillsynsbegäran mail.docx", "S 273-2025")</f>
        <v/>
      </c>
    </row>
    <row r="53" ht="15" customHeight="1">
      <c r="A53" t="inlineStr">
        <is>
          <t>S 2682-2022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44701</v>
      </c>
      <c r="E53" s="1" t="n">
        <v>46226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HYPERLINK("https://klasma.github.io/Logging_0583/artfynd/S 2682-2022 artfynd.xlsx", "S 2682-2022")</f>
        <v/>
      </c>
      <c r="X53">
        <f>HYPERLINK("https://klasma.github.io/Logging_0583/kartor/S 2682-2022 karta.png", "S 2682-2022")</f>
        <v/>
      </c>
      <c r="Y53">
        <f>HYPERLINK("https://klasma.github.io/Logging_0583/kartor_geotiff/S 2682-2022 georefererad karta.tif", "S 2682-2022")</f>
        <v/>
      </c>
      <c r="AA53">
        <f>HYPERLINK("https://klasma.github.io/Logging_0583/klagomål/S 2682-2022 FSC-klagomål.docx", "S 2682-2022")</f>
        <v/>
      </c>
      <c r="AB53">
        <f>HYPERLINK("https://klasma.github.io/Logging_0583/klagomålsmail/S 2682-2022 FSC-klagomål mail.docx", "S 2682-2022")</f>
        <v/>
      </c>
      <c r="AC53">
        <f>HYPERLINK("https://klasma.github.io/Logging_0583/tillsyn/S 2682-2022 tillsynsbegäran.docx", "S 2682-2022")</f>
        <v/>
      </c>
      <c r="AD53">
        <f>HYPERLINK("https://klasma.github.io/Logging_0583/tillsynsmail/S 2682-2022 tillsynsbegäran mail.docx", "S 2682-2022")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46226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46226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46226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53574-2021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44468</v>
      </c>
      <c r="E57" s="1" t="n">
        <v>46226</v>
      </c>
      <c r="F57" t="inlineStr">
        <is>
          <t>ÖSTERGÖTLANDS LÄN</t>
        </is>
      </c>
      <c r="G57" t="inlineStr">
        <is>
          <t>MOTALA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44572</v>
      </c>
      <c r="E58" s="1" t="n">
        <v>46226</v>
      </c>
      <c r="F58" t="inlineStr">
        <is>
          <t>ÖSTERGÖTLANDS LÄN</t>
        </is>
      </c>
      <c r="G58" t="inlineStr">
        <is>
          <t>MOTALA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57981-2021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44487</v>
      </c>
      <c r="E59" s="1" t="n">
        <v>46226</v>
      </c>
      <c r="F59" t="inlineStr">
        <is>
          <t>ÖSTERGÖTLANDS LÄN</t>
        </is>
      </c>
      <c r="G59" t="inlineStr">
        <is>
          <t>MOTALA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46226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41644-2021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46226</v>
      </c>
      <c r="F61" t="inlineStr">
        <is>
          <t>ÖSTERGÖTLANDS LÄN</t>
        </is>
      </c>
      <c r="G61" t="inlineStr">
        <is>
          <t>MOTALA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46226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46226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46226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46226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46226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46226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46226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46226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46226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46226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46226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44413</v>
      </c>
      <c r="E73" s="1" t="n">
        <v>46226</v>
      </c>
      <c r="F73" t="inlineStr">
        <is>
          <t>ÖSTERGÖTLANDS LÄN</t>
        </is>
      </c>
      <c r="G73" t="inlineStr">
        <is>
          <t>MOTALA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46226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62548-2021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46226</v>
      </c>
      <c r="F75" t="inlineStr">
        <is>
          <t>ÖSTERGÖTLANDS LÄN</t>
        </is>
      </c>
      <c r="G75" t="inlineStr">
        <is>
          <t>MOTALA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39494-2021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44414</v>
      </c>
      <c r="E76" s="1" t="n">
        <v>46226</v>
      </c>
      <c r="F76" t="inlineStr">
        <is>
          <t>ÖSTERGÖTLANDS LÄN</t>
        </is>
      </c>
      <c r="G76" t="inlineStr">
        <is>
          <t>MOTALA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44425</v>
      </c>
      <c r="E77" s="1" t="n">
        <v>46226</v>
      </c>
      <c r="F77" t="inlineStr">
        <is>
          <t>ÖSTERGÖTLANDS LÄN</t>
        </is>
      </c>
      <c r="G77" t="inlineStr">
        <is>
          <t>MOTALA</t>
        </is>
      </c>
      <c r="I77" t="n">
        <v>5.8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49150-2022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46226</v>
      </c>
      <c r="F78" t="inlineStr">
        <is>
          <t>ÖSTERGÖTLANDS LÄN</t>
        </is>
      </c>
      <c r="G78" t="inlineStr">
        <is>
          <t>MOTALA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44830</v>
      </c>
      <c r="E79" s="1" t="n">
        <v>46226</v>
      </c>
      <c r="F79" t="inlineStr">
        <is>
          <t>ÖSTERGÖTLANDS LÄN</t>
        </is>
      </c>
      <c r="G79" t="inlineStr">
        <is>
          <t>MOTALA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17071-2022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44677</v>
      </c>
      <c r="E80" s="1" t="n">
        <v>46226</v>
      </c>
      <c r="F80" t="inlineStr">
        <is>
          <t>ÖSTERGÖTLANDS LÄN</t>
        </is>
      </c>
      <c r="G80" t="inlineStr">
        <is>
          <t>MOTALA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44819</v>
      </c>
      <c r="E81" s="1" t="n">
        <v>46226</v>
      </c>
      <c r="F81" t="inlineStr">
        <is>
          <t>ÖSTERGÖTLANDS LÄN</t>
        </is>
      </c>
      <c r="G81" t="inlineStr">
        <is>
          <t>MOTALA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46226</v>
      </c>
      <c r="F82" t="inlineStr">
        <is>
          <t>ÖSTERGÖTLANDS LÄN</t>
        </is>
      </c>
      <c r="G82" t="inlineStr">
        <is>
          <t>MOTALA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23886-2022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46226</v>
      </c>
      <c r="F83" t="inlineStr">
        <is>
          <t>ÖSTERGÖTLANDS LÄN</t>
        </is>
      </c>
      <c r="G83" t="inlineStr">
        <is>
          <t>MOTALA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48931-2021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44452</v>
      </c>
      <c r="E84" s="1" t="n">
        <v>46226</v>
      </c>
      <c r="F84" t="inlineStr">
        <is>
          <t>ÖSTERGÖTLANDS LÄN</t>
        </is>
      </c>
      <c r="G84" t="inlineStr">
        <is>
          <t>MOTALA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46226</v>
      </c>
      <c r="F85" t="inlineStr">
        <is>
          <t>ÖSTERGÖTLANDS LÄN</t>
        </is>
      </c>
      <c r="G85" t="inlineStr">
        <is>
          <t>MOTALA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46210-2022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44846</v>
      </c>
      <c r="E86" s="1" t="n">
        <v>46226</v>
      </c>
      <c r="F86" t="inlineStr">
        <is>
          <t>ÖSTERGÖTLANDS LÄN</t>
        </is>
      </c>
      <c r="G86" t="inlineStr">
        <is>
          <t>MOTALA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44421</v>
      </c>
      <c r="E87" s="1" t="n">
        <v>46226</v>
      </c>
      <c r="F87" t="inlineStr">
        <is>
          <t>ÖSTERGÖTLANDS LÄN</t>
        </is>
      </c>
      <c r="G87" t="inlineStr">
        <is>
          <t>MOTALA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46226</v>
      </c>
      <c r="F88" t="inlineStr">
        <is>
          <t>ÖSTERGÖTLANDS LÄN</t>
        </is>
      </c>
      <c r="G88" t="inlineStr">
        <is>
          <t>MOTALA</t>
        </is>
      </c>
      <c r="I88" t="n">
        <v>5.8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10678-2022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46226</v>
      </c>
      <c r="F89" t="inlineStr">
        <is>
          <t>ÖSTERGÖTLANDS LÄN</t>
        </is>
      </c>
      <c r="G89" t="inlineStr">
        <is>
          <t>MOTALA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44602</v>
      </c>
      <c r="E90" s="1" t="n">
        <v>46226</v>
      </c>
      <c r="F90" t="inlineStr">
        <is>
          <t>ÖSTERGÖTLANDS LÄN</t>
        </is>
      </c>
      <c r="G90" t="inlineStr">
        <is>
          <t>MOTALA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60286-2021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44495</v>
      </c>
      <c r="E91" s="1" t="n">
        <v>46226</v>
      </c>
      <c r="F91" t="inlineStr">
        <is>
          <t>ÖSTERGÖTLANDS LÄN</t>
        </is>
      </c>
      <c r="G91" t="inlineStr">
        <is>
          <t>MOTALA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66190-2021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44518</v>
      </c>
      <c r="E92" s="1" t="n">
        <v>46226</v>
      </c>
      <c r="F92" t="inlineStr">
        <is>
          <t>ÖSTERGÖTLANDS LÄN</t>
        </is>
      </c>
      <c r="G92" t="inlineStr">
        <is>
          <t>MOTALA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9708-2022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44617</v>
      </c>
      <c r="E93" s="1" t="n">
        <v>46226</v>
      </c>
      <c r="F93" t="inlineStr">
        <is>
          <t>ÖSTERGÖTLANDS LÄN</t>
        </is>
      </c>
      <c r="G93" t="inlineStr">
        <is>
          <t>MOTALA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13420-2022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46226</v>
      </c>
      <c r="F94" t="inlineStr">
        <is>
          <t>ÖSTERGÖTLANDS LÄN</t>
        </is>
      </c>
      <c r="G94" t="inlineStr">
        <is>
          <t>MOTALA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44565</v>
      </c>
      <c r="E95" s="1" t="n">
        <v>46226</v>
      </c>
      <c r="F95" t="inlineStr">
        <is>
          <t>ÖSTERGÖTLANDS LÄN</t>
        </is>
      </c>
      <c r="G95" t="inlineStr">
        <is>
          <t>MOTALA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44518</v>
      </c>
      <c r="E96" s="1" t="n">
        <v>46226</v>
      </c>
      <c r="F96" t="inlineStr">
        <is>
          <t>ÖSTERGÖTLANDS LÄN</t>
        </is>
      </c>
      <c r="G96" t="inlineStr">
        <is>
          <t>MOTALA</t>
        </is>
      </c>
      <c r="I96" t="n">
        <v>13.6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41911-2022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44830</v>
      </c>
      <c r="E97" s="1" t="n">
        <v>46226</v>
      </c>
      <c r="F97" t="inlineStr">
        <is>
          <t>ÖSTERGÖTLANDS LÄN</t>
        </is>
      </c>
      <c r="G97" t="inlineStr">
        <is>
          <t>MOTALA</t>
        </is>
      </c>
      <c r="H97" t="inlineStr">
        <is>
          <t>Sveaskog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46958-2021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44446</v>
      </c>
      <c r="E98" s="1" t="n">
        <v>46226</v>
      </c>
      <c r="F98" t="inlineStr">
        <is>
          <t>ÖSTERGÖTLANDS LÄN</t>
        </is>
      </c>
      <c r="G98" t="inlineStr">
        <is>
          <t>MOTALA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46226</v>
      </c>
      <c r="F99" t="inlineStr">
        <is>
          <t>ÖSTERGÖTLANDS LÄN</t>
        </is>
      </c>
      <c r="G99" t="inlineStr">
        <is>
          <t>MOTALA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26755-2022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44740</v>
      </c>
      <c r="E100" s="1" t="n">
        <v>46226</v>
      </c>
      <c r="F100" t="inlineStr">
        <is>
          <t>ÖSTERGÖTLANDS LÄN</t>
        </is>
      </c>
      <c r="G100" t="inlineStr">
        <is>
          <t>MOTALA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44573</v>
      </c>
      <c r="E101" s="1" t="n">
        <v>46226</v>
      </c>
      <c r="F101" t="inlineStr">
        <is>
          <t>ÖSTERGÖTLANDS LÄN</t>
        </is>
      </c>
      <c r="G101" t="inlineStr">
        <is>
          <t>MOTALA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55119-2021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44474</v>
      </c>
      <c r="E102" s="1" t="n">
        <v>46226</v>
      </c>
      <c r="F102" t="inlineStr">
        <is>
          <t>ÖSTERGÖTLANDS LÄN</t>
        </is>
      </c>
      <c r="G102" t="inlineStr">
        <is>
          <t>MOTALA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49787-2021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44455</v>
      </c>
      <c r="E103" s="1" t="n">
        <v>46226</v>
      </c>
      <c r="F103" t="inlineStr">
        <is>
          <t>ÖSTERGÖTLANDS LÄN</t>
        </is>
      </c>
      <c r="G103" t="inlineStr">
        <is>
          <t>MOTALA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44571</v>
      </c>
      <c r="E104" s="1" t="n">
        <v>46226</v>
      </c>
      <c r="F104" t="inlineStr">
        <is>
          <t>ÖSTERGÖTLANDS LÄN</t>
        </is>
      </c>
      <c r="G104" t="inlineStr">
        <is>
          <t>MOTALA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37496-2022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44809</v>
      </c>
      <c r="E105" s="1" t="n">
        <v>46226</v>
      </c>
      <c r="F105" t="inlineStr">
        <is>
          <t>ÖSTERGÖTLANDS LÄN</t>
        </is>
      </c>
      <c r="G105" t="inlineStr">
        <is>
          <t>MOTALA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62549-2021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44503</v>
      </c>
      <c r="E106" s="1" t="n">
        <v>46226</v>
      </c>
      <c r="F106" t="inlineStr">
        <is>
          <t>ÖSTERGÖTLANDS LÄN</t>
        </is>
      </c>
      <c r="G106" t="inlineStr">
        <is>
          <t>MOTALA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35663-2022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44799</v>
      </c>
      <c r="E107" s="1" t="n">
        <v>46226</v>
      </c>
      <c r="F107" t="inlineStr">
        <is>
          <t>ÖSTERGÖTLANDS LÄN</t>
        </is>
      </c>
      <c r="G107" t="inlineStr">
        <is>
          <t>MOTALA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43381-2022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46226</v>
      </c>
      <c r="F108" t="inlineStr">
        <is>
          <t>ÖSTERGÖTLANDS LÄN</t>
        </is>
      </c>
      <c r="G108" t="inlineStr">
        <is>
          <t>MOTALA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44574</v>
      </c>
      <c r="E109" s="1" t="n">
        <v>46226</v>
      </c>
      <c r="F109" t="inlineStr">
        <is>
          <t>ÖSTERGÖTLANDS LÄN</t>
        </is>
      </c>
      <c r="G109" t="inlineStr">
        <is>
          <t>MOTALA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1646-2022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44574</v>
      </c>
      <c r="E110" s="1" t="n">
        <v>46226</v>
      </c>
      <c r="F110" t="inlineStr">
        <is>
          <t>ÖSTERGÖTLANDS LÄN</t>
        </is>
      </c>
      <c r="G110" t="inlineStr">
        <is>
          <t>MOTALA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46226</v>
      </c>
      <c r="F111" t="inlineStr">
        <is>
          <t>ÖSTERGÖTLANDS LÄN</t>
        </is>
      </c>
      <c r="G111" t="inlineStr">
        <is>
          <t>MOTALA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7710-2022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44608</v>
      </c>
      <c r="E112" s="1" t="n">
        <v>46226</v>
      </c>
      <c r="F112" t="inlineStr">
        <is>
          <t>ÖSTERGÖTLANDS LÄN</t>
        </is>
      </c>
      <c r="G112" t="inlineStr">
        <is>
          <t>MOTALA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41931-2022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44830</v>
      </c>
      <c r="E113" s="1" t="n">
        <v>46226</v>
      </c>
      <c r="F113" t="inlineStr">
        <is>
          <t>ÖSTERGÖTLANDS LÄN</t>
        </is>
      </c>
      <c r="G113" t="inlineStr">
        <is>
          <t>MOTALA</t>
        </is>
      </c>
      <c r="H113" t="inlineStr">
        <is>
          <t>Sveaskog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44749</v>
      </c>
      <c r="E114" s="1" t="n">
        <v>46226</v>
      </c>
      <c r="F114" t="inlineStr">
        <is>
          <t>ÖSTERGÖTLANDS LÄN</t>
        </is>
      </c>
      <c r="G114" t="inlineStr">
        <is>
          <t>MOTALA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54446-2022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44882</v>
      </c>
      <c r="E115" s="1" t="n">
        <v>46226</v>
      </c>
      <c r="F115" t="inlineStr">
        <is>
          <t>ÖSTERGÖTLANDS LÄN</t>
        </is>
      </c>
      <c r="G115" t="inlineStr">
        <is>
          <t>MOTALA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68288-2021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44526</v>
      </c>
      <c r="E116" s="1" t="n">
        <v>46226</v>
      </c>
      <c r="F116" t="inlineStr">
        <is>
          <t>ÖSTERGÖTLANDS LÄN</t>
        </is>
      </c>
      <c r="G116" t="inlineStr">
        <is>
          <t>MOTALA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44796</v>
      </c>
      <c r="E117" s="1" t="n">
        <v>46226</v>
      </c>
      <c r="F117" t="inlineStr">
        <is>
          <t>ÖSTERGÖTLANDS LÄN</t>
        </is>
      </c>
      <c r="G117" t="inlineStr">
        <is>
          <t>MOTALA</t>
        </is>
      </c>
      <c r="H117" t="inlineStr">
        <is>
          <t>Övriga statliga verk och myndigheter</t>
        </is>
      </c>
      <c r="I117" t="n">
        <v>21.3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62019-2021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46226</v>
      </c>
      <c r="F118" t="inlineStr">
        <is>
          <t>ÖSTERGÖTLANDS LÄN</t>
        </is>
      </c>
      <c r="G118" t="inlineStr">
        <is>
          <t>MOTALA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68348-2021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44528</v>
      </c>
      <c r="E119" s="1" t="n">
        <v>46226</v>
      </c>
      <c r="F119" t="inlineStr">
        <is>
          <t>ÖSTERGÖTLANDS LÄN</t>
        </is>
      </c>
      <c r="G119" t="inlineStr">
        <is>
          <t>MOTALA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66199-2021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46226</v>
      </c>
      <c r="F120" t="inlineStr">
        <is>
          <t>ÖSTERGÖTLANDS LÄN</t>
        </is>
      </c>
      <c r="G120" t="inlineStr">
        <is>
          <t>MOTALA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49658-2021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44455</v>
      </c>
      <c r="E121" s="1" t="n">
        <v>46226</v>
      </c>
      <c r="F121" t="inlineStr">
        <is>
          <t>ÖSTERGÖTLANDS LÄN</t>
        </is>
      </c>
      <c r="G121" t="inlineStr">
        <is>
          <t>MOTALA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44496</v>
      </c>
      <c r="E122" s="1" t="n">
        <v>46226</v>
      </c>
      <c r="F122" t="inlineStr">
        <is>
          <t>ÖSTERGÖTLANDS LÄN</t>
        </is>
      </c>
      <c r="G122" t="inlineStr">
        <is>
          <t>MOTALA</t>
        </is>
      </c>
      <c r="I122" t="n">
        <v>4.3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49627-2021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46226</v>
      </c>
      <c r="F123" t="inlineStr">
        <is>
          <t>ÖSTERGÖTLANDS LÄN</t>
        </is>
      </c>
      <c r="G123" t="inlineStr">
        <is>
          <t>MOTALA</t>
        </is>
      </c>
      <c r="I123" t="n">
        <v>14.2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57841-2021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44484</v>
      </c>
      <c r="E124" s="1" t="n">
        <v>46226</v>
      </c>
      <c r="F124" t="inlineStr">
        <is>
          <t>ÖSTERGÖTLANDS LÄN</t>
        </is>
      </c>
      <c r="G124" t="inlineStr">
        <is>
          <t>MOTALA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37477-2022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44809</v>
      </c>
      <c r="E125" s="1" t="n">
        <v>46226</v>
      </c>
      <c r="F125" t="inlineStr">
        <is>
          <t>ÖSTERGÖTLANDS LÄN</t>
        </is>
      </c>
      <c r="G125" t="inlineStr">
        <is>
          <t>MOTALA</t>
        </is>
      </c>
      <c r="H125" t="inlineStr">
        <is>
          <t>Övriga statliga verk och myndigheter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46226</v>
      </c>
      <c r="F126" t="inlineStr">
        <is>
          <t>ÖSTERGÖTLANDS LÄN</t>
        </is>
      </c>
      <c r="G126" t="inlineStr">
        <is>
          <t>MOTALA</t>
        </is>
      </c>
      <c r="H126" t="inlineStr">
        <is>
          <t>Sveaskog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9626-2023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46226</v>
      </c>
      <c r="F127" t="inlineStr">
        <is>
          <t>ÖSTERGÖTLANDS LÄN</t>
        </is>
      </c>
      <c r="G127" t="inlineStr">
        <is>
          <t>MOTALA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43995-2023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46226</v>
      </c>
      <c r="F128" t="inlineStr">
        <is>
          <t>ÖSTERGÖTLANDS LÄN</t>
        </is>
      </c>
      <c r="G128" t="inlineStr">
        <is>
          <t>MOTALA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46226</v>
      </c>
      <c r="F129" t="inlineStr">
        <is>
          <t>ÖSTERGÖTLANDS LÄN</t>
        </is>
      </c>
      <c r="G129" t="inlineStr">
        <is>
          <t>MOTALA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44615</v>
      </c>
      <c r="E130" s="1" t="n">
        <v>46226</v>
      </c>
      <c r="F130" t="inlineStr">
        <is>
          <t>ÖSTERGÖTLANDS LÄN</t>
        </is>
      </c>
      <c r="G130" t="inlineStr">
        <is>
          <t>MOTALA</t>
        </is>
      </c>
      <c r="I130" t="n">
        <v>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45387</v>
      </c>
      <c r="E131" s="1" t="n">
        <v>46226</v>
      </c>
      <c r="F131" t="inlineStr">
        <is>
          <t>ÖSTERGÖTLANDS LÄN</t>
        </is>
      </c>
      <c r="G131" t="inlineStr">
        <is>
          <t>MOTALA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53491-2022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44879</v>
      </c>
      <c r="E132" s="1" t="n">
        <v>46226</v>
      </c>
      <c r="F132" t="inlineStr">
        <is>
          <t>ÖSTERGÖTLANDS LÄN</t>
        </is>
      </c>
      <c r="G132" t="inlineStr">
        <is>
          <t>MOTALA</t>
        </is>
      </c>
      <c r="H132" t="inlineStr">
        <is>
          <t>Sveaskog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12916-2023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46226</v>
      </c>
      <c r="F133" t="inlineStr">
        <is>
          <t>ÖSTERGÖTLANDS LÄN</t>
        </is>
      </c>
      <c r="G133" t="inlineStr">
        <is>
          <t>MOTALA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15544-2025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46226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24090-2023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45079</v>
      </c>
      <c r="E135" s="1" t="n">
        <v>46226</v>
      </c>
      <c r="F135" t="inlineStr">
        <is>
          <t>ÖSTERGÖTLANDS LÄN</t>
        </is>
      </c>
      <c r="G135" t="inlineStr">
        <is>
          <t>MOTALA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64164-2023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46226</v>
      </c>
      <c r="F136" t="inlineStr">
        <is>
          <t>ÖSTERGÖTLANDS LÄN</t>
        </is>
      </c>
      <c r="G136" t="inlineStr">
        <is>
          <t>MOTALA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23580-2024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45454</v>
      </c>
      <c r="E137" s="1" t="n">
        <v>46226</v>
      </c>
      <c r="F137" t="inlineStr">
        <is>
          <t>ÖSTERGÖTLANDS LÄN</t>
        </is>
      </c>
      <c r="G137" t="inlineStr">
        <is>
          <t>MOTALA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43369-2023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45183</v>
      </c>
      <c r="E138" s="1" t="n">
        <v>46226</v>
      </c>
      <c r="F138" t="inlineStr">
        <is>
          <t>ÖSTERGÖTLANDS LÄN</t>
        </is>
      </c>
      <c r="G138" t="inlineStr">
        <is>
          <t>MOTALA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31430-2023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45114</v>
      </c>
      <c r="E139" s="1" t="n">
        <v>46226</v>
      </c>
      <c r="F139" t="inlineStr">
        <is>
          <t>ÖSTERGÖTLANDS LÄN</t>
        </is>
      </c>
      <c r="G139" t="inlineStr">
        <is>
          <t>MOTALA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7295-2022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44606</v>
      </c>
      <c r="E140" s="1" t="n">
        <v>46226</v>
      </c>
      <c r="F140" t="inlineStr">
        <is>
          <t>ÖSTERGÖTLANDS LÄN</t>
        </is>
      </c>
      <c r="G140" t="inlineStr">
        <is>
          <t>MOTALA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45343</v>
      </c>
      <c r="E141" s="1" t="n">
        <v>46226</v>
      </c>
      <c r="F141" t="inlineStr">
        <is>
          <t>ÖSTERGÖTLANDS LÄN</t>
        </is>
      </c>
      <c r="G141" t="inlineStr">
        <is>
          <t>MOTALA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49867-2024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45597</v>
      </c>
      <c r="E142" s="1" t="n">
        <v>46226</v>
      </c>
      <c r="F142" t="inlineStr">
        <is>
          <t>ÖSTERGÖTLANDS LÄN</t>
        </is>
      </c>
      <c r="G142" t="inlineStr">
        <is>
          <t>MOTALA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46226</v>
      </c>
      <c r="F143" t="inlineStr">
        <is>
          <t>ÖSTERGÖTLANDS LÄN</t>
        </is>
      </c>
      <c r="G143" t="inlineStr">
        <is>
          <t>MOTALA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45302</v>
      </c>
      <c r="E144" s="1" t="n">
        <v>46226</v>
      </c>
      <c r="F144" t="inlineStr">
        <is>
          <t>ÖSTERGÖTLANDS LÄN</t>
        </is>
      </c>
      <c r="G144" t="inlineStr">
        <is>
          <t>MOTALA</t>
        </is>
      </c>
      <c r="H144" t="inlineStr">
        <is>
          <t>Övriga statliga verk och myndigheter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11168-2023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46226</v>
      </c>
      <c r="F145" t="inlineStr">
        <is>
          <t>ÖSTERGÖTLANDS LÄN</t>
        </is>
      </c>
      <c r="G145" t="inlineStr">
        <is>
          <t>MOTALA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46226</v>
      </c>
      <c r="F146" t="inlineStr">
        <is>
          <t>ÖSTERGÖTLANDS LÄN</t>
        </is>
      </c>
      <c r="G146" t="inlineStr">
        <is>
          <t>MOTALA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50137-2023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45215</v>
      </c>
      <c r="E147" s="1" t="n">
        <v>46226</v>
      </c>
      <c r="F147" t="inlineStr">
        <is>
          <t>ÖSTERGÖTLANDS LÄN</t>
        </is>
      </c>
      <c r="G147" t="inlineStr">
        <is>
          <t>MOTALA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28681-2022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44748</v>
      </c>
      <c r="E148" s="1" t="n">
        <v>46226</v>
      </c>
      <c r="F148" t="inlineStr">
        <is>
          <t>ÖSTERGÖTLANDS LÄN</t>
        </is>
      </c>
      <c r="G148" t="inlineStr">
        <is>
          <t>MOTALA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44952</v>
      </c>
      <c r="E149" s="1" t="n">
        <v>46226</v>
      </c>
      <c r="F149" t="inlineStr">
        <is>
          <t>ÖSTERGÖTLANDS LÄN</t>
        </is>
      </c>
      <c r="G149" t="inlineStr">
        <is>
          <t>MOTALA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1038-2023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44935</v>
      </c>
      <c r="E150" s="1" t="n">
        <v>46226</v>
      </c>
      <c r="F150" t="inlineStr">
        <is>
          <t>ÖSTERGÖTLANDS LÄN</t>
        </is>
      </c>
      <c r="G150" t="inlineStr">
        <is>
          <t>MOTALA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41093-2023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45173</v>
      </c>
      <c r="E151" s="1" t="n">
        <v>46226</v>
      </c>
      <c r="F151" t="inlineStr">
        <is>
          <t>ÖSTERGÖTLANDS LÄN</t>
        </is>
      </c>
      <c r="G151" t="inlineStr">
        <is>
          <t>MOTALA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44937</v>
      </c>
      <c r="E152" s="1" t="n">
        <v>46226</v>
      </c>
      <c r="F152" t="inlineStr">
        <is>
          <t>ÖSTERGÖTLANDS LÄN</t>
        </is>
      </c>
      <c r="G152" t="inlineStr">
        <is>
          <t>MOTALA</t>
        </is>
      </c>
      <c r="H152" t="inlineStr">
        <is>
          <t>Kommuner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60682-2024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45644</v>
      </c>
      <c r="E153" s="1" t="n">
        <v>46226</v>
      </c>
      <c r="F153" t="inlineStr">
        <is>
          <t>ÖSTERGÖTLANDS LÄN</t>
        </is>
      </c>
      <c r="G153" t="inlineStr">
        <is>
          <t>MOTALA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29077-2022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44750</v>
      </c>
      <c r="E154" s="1" t="n">
        <v>46226</v>
      </c>
      <c r="F154" t="inlineStr">
        <is>
          <t>ÖSTERGÖTLANDS LÄN</t>
        </is>
      </c>
      <c r="G154" t="inlineStr">
        <is>
          <t>MOTALA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21201-2024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45440</v>
      </c>
      <c r="E155" s="1" t="n">
        <v>46226</v>
      </c>
      <c r="F155" t="inlineStr">
        <is>
          <t>ÖSTERGÖTLANDS LÄN</t>
        </is>
      </c>
      <c r="G155" t="inlineStr">
        <is>
          <t>MOTALA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37279-2024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46226</v>
      </c>
      <c r="F156" t="inlineStr">
        <is>
          <t>ÖSTERGÖTLANDS LÄN</t>
        </is>
      </c>
      <c r="G156" t="inlineStr">
        <is>
          <t>MOTALA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30377-2023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45111</v>
      </c>
      <c r="E157" s="1" t="n">
        <v>46226</v>
      </c>
      <c r="F157" t="inlineStr">
        <is>
          <t>ÖSTERGÖTLANDS LÄN</t>
        </is>
      </c>
      <c r="G157" t="inlineStr">
        <is>
          <t>MOTALA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7358-2026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46226</v>
      </c>
      <c r="F158" t="inlineStr">
        <is>
          <t>ÖSTERGÖTLANDS LÄN</t>
        </is>
      </c>
      <c r="G158" t="inlineStr">
        <is>
          <t>MOTALA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38660-2024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45546</v>
      </c>
      <c r="E159" s="1" t="n">
        <v>46226</v>
      </c>
      <c r="F159" t="inlineStr">
        <is>
          <t>ÖSTERGÖTLANDS LÄN</t>
        </is>
      </c>
      <c r="G159" t="inlineStr">
        <is>
          <t>MOTALA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7586-2026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46061</v>
      </c>
      <c r="E160" s="1" t="n">
        <v>46226</v>
      </c>
      <c r="F160" t="inlineStr">
        <is>
          <t>ÖSTERGÖTLANDS LÄN</t>
        </is>
      </c>
      <c r="G160" t="inlineStr">
        <is>
          <t>MOTALA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8153-2026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46064</v>
      </c>
      <c r="E161" s="1" t="n">
        <v>46226</v>
      </c>
      <c r="F161" t="inlineStr">
        <is>
          <t>ÖSTERGÖTLANDS LÄN</t>
        </is>
      </c>
      <c r="G161" t="inlineStr">
        <is>
          <t>MOTALA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19526-2024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45429</v>
      </c>
      <c r="E162" s="1" t="n">
        <v>46226</v>
      </c>
      <c r="F162" t="inlineStr">
        <is>
          <t>ÖSTERGÖTLANDS LÄN</t>
        </is>
      </c>
      <c r="G162" t="inlineStr">
        <is>
          <t>MOTALA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8138-2026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46064</v>
      </c>
      <c r="E163" s="1" t="n">
        <v>46226</v>
      </c>
      <c r="F163" t="inlineStr">
        <is>
          <t>ÖSTERGÖTLANDS LÄN</t>
        </is>
      </c>
      <c r="G163" t="inlineStr">
        <is>
          <t>MOTALA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50785-2021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44459</v>
      </c>
      <c r="E164" s="1" t="n">
        <v>46226</v>
      </c>
      <c r="F164" t="inlineStr">
        <is>
          <t>ÖSTERGÖTLANDS LÄN</t>
        </is>
      </c>
      <c r="G164" t="inlineStr">
        <is>
          <t>MOTALA</t>
        </is>
      </c>
      <c r="H164" t="inlineStr">
        <is>
          <t>Kyrkan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8785-2026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46066</v>
      </c>
      <c r="E165" s="1" t="n">
        <v>46226</v>
      </c>
      <c r="F165" t="inlineStr">
        <is>
          <t>ÖSTERGÖTLANDS LÄN</t>
        </is>
      </c>
      <c r="G165" t="inlineStr">
        <is>
          <t>MOTALA</t>
        </is>
      </c>
      <c r="H165" t="inlineStr">
        <is>
          <t>Sveaskog</t>
        </is>
      </c>
      <c r="I165" t="n">
        <v>4.3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8787-2026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46066</v>
      </c>
      <c r="E166" s="1" t="n">
        <v>46226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8788-2026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46066</v>
      </c>
      <c r="E167" s="1" t="n">
        <v>46226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8791-2026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46066</v>
      </c>
      <c r="E168" s="1" t="n">
        <v>46226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8794-2026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46226</v>
      </c>
      <c r="F169" t="inlineStr">
        <is>
          <t>ÖSTERGÖTLANDS LÄN</t>
        </is>
      </c>
      <c r="G169" t="inlineStr">
        <is>
          <t>MOTALA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8779-2026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46066</v>
      </c>
      <c r="E170" s="1" t="n">
        <v>46226</v>
      </c>
      <c r="F170" t="inlineStr">
        <is>
          <t>ÖSTERGÖTLANDS LÄN</t>
        </is>
      </c>
      <c r="G170" t="inlineStr">
        <is>
          <t>MOTALA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8774-2026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46226</v>
      </c>
      <c r="F171" t="inlineStr">
        <is>
          <t>ÖSTERGÖTLANDS LÄN</t>
        </is>
      </c>
      <c r="G171" t="inlineStr">
        <is>
          <t>MOTALA</t>
        </is>
      </c>
      <c r="H171" t="inlineStr">
        <is>
          <t>Sveaskog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8776-2026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46066</v>
      </c>
      <c r="E172" s="1" t="n">
        <v>46226</v>
      </c>
      <c r="F172" t="inlineStr">
        <is>
          <t>ÖSTERGÖTLANDS LÄN</t>
        </is>
      </c>
      <c r="G172" t="inlineStr">
        <is>
          <t>MOTALA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8784-2026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46066</v>
      </c>
      <c r="E173" s="1" t="n">
        <v>46226</v>
      </c>
      <c r="F173" t="inlineStr">
        <is>
          <t>ÖSTERGÖTLANDS LÄN</t>
        </is>
      </c>
      <c r="G173" t="inlineStr">
        <is>
          <t>MOTALA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8620-2026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46066</v>
      </c>
      <c r="E174" s="1" t="n">
        <v>46226</v>
      </c>
      <c r="F174" t="inlineStr">
        <is>
          <t>ÖSTERGÖTLANDS LÄN</t>
        </is>
      </c>
      <c r="G174" t="inlineStr">
        <is>
          <t>MOTALA</t>
        </is>
      </c>
      <c r="H174" t="inlineStr">
        <is>
          <t>Sveaskog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9000-2026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46069</v>
      </c>
      <c r="E175" s="1" t="n">
        <v>46226</v>
      </c>
      <c r="F175" t="inlineStr">
        <is>
          <t>ÖSTERGÖTLANDS LÄN</t>
        </is>
      </c>
      <c r="G175" t="inlineStr">
        <is>
          <t>MOTALA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9002-2026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46069</v>
      </c>
      <c r="E176" s="1" t="n">
        <v>46226</v>
      </c>
      <c r="F176" t="inlineStr">
        <is>
          <t>ÖSTERGÖTLANDS LÄN</t>
        </is>
      </c>
      <c r="G176" t="inlineStr">
        <is>
          <t>MOTALA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8781-2026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46066</v>
      </c>
      <c r="E177" s="1" t="n">
        <v>46226</v>
      </c>
      <c r="F177" t="inlineStr">
        <is>
          <t>ÖSTERGÖTLANDS LÄN</t>
        </is>
      </c>
      <c r="G177" t="inlineStr">
        <is>
          <t>MOTALA</t>
        </is>
      </c>
      <c r="H177" t="inlineStr">
        <is>
          <t>Sveaskog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8783-2026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46066</v>
      </c>
      <c r="E178" s="1" t="n">
        <v>46226</v>
      </c>
      <c r="F178" t="inlineStr">
        <is>
          <t>ÖSTERGÖTLANDS LÄN</t>
        </is>
      </c>
      <c r="G178" t="inlineStr">
        <is>
          <t>MOTALA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46226</v>
      </c>
      <c r="F179" t="inlineStr">
        <is>
          <t>ÖSTERGÖTLANDS LÄN</t>
        </is>
      </c>
      <c r="G179" t="inlineStr">
        <is>
          <t>MOTALA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46226</v>
      </c>
      <c r="F180" t="inlineStr">
        <is>
          <t>ÖSTERGÖTLANDS LÄN</t>
        </is>
      </c>
      <c r="G180" t="inlineStr">
        <is>
          <t>MOTALA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9960-2026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46073</v>
      </c>
      <c r="E181" s="1" t="n">
        <v>46226</v>
      </c>
      <c r="F181" t="inlineStr">
        <is>
          <t>ÖSTERGÖTLANDS LÄN</t>
        </is>
      </c>
      <c r="G181" t="inlineStr">
        <is>
          <t>MOTALA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45202</v>
      </c>
      <c r="E182" s="1" t="n">
        <v>46226</v>
      </c>
      <c r="F182" t="inlineStr">
        <is>
          <t>ÖSTERGÖTLANDS LÄN</t>
        </is>
      </c>
      <c r="G182" t="inlineStr">
        <is>
          <t>MOTALA</t>
        </is>
      </c>
      <c r="I182" t="n">
        <v>17.6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40106-2025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45894</v>
      </c>
      <c r="E183" s="1" t="n">
        <v>46226</v>
      </c>
      <c r="F183" t="inlineStr">
        <is>
          <t>ÖSTERGÖTLANDS LÄN</t>
        </is>
      </c>
      <c r="G183" t="inlineStr">
        <is>
          <t>MOTALA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10510-2026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46077</v>
      </c>
      <c r="E184" s="1" t="n">
        <v>46226</v>
      </c>
      <c r="F184" t="inlineStr">
        <is>
          <t>ÖSTERGÖTLANDS LÄN</t>
        </is>
      </c>
      <c r="G184" t="inlineStr">
        <is>
          <t>MOTALA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2028-2022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44575</v>
      </c>
      <c r="E185" s="1" t="n">
        <v>46226</v>
      </c>
      <c r="F185" t="inlineStr">
        <is>
          <t>ÖSTERGÖTLANDS LÄN</t>
        </is>
      </c>
      <c r="G185" t="inlineStr">
        <is>
          <t>MOTALA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11319-2026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46080</v>
      </c>
      <c r="E186" s="1" t="n">
        <v>46226</v>
      </c>
      <c r="F186" t="inlineStr">
        <is>
          <t>ÖSTERGÖTLANDS LÄN</t>
        </is>
      </c>
      <c r="G186" t="inlineStr">
        <is>
          <t>MOTALA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11317-2026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46080</v>
      </c>
      <c r="E187" s="1" t="n">
        <v>46226</v>
      </c>
      <c r="F187" t="inlineStr">
        <is>
          <t>ÖSTERGÖTLANDS LÄN</t>
        </is>
      </c>
      <c r="G187" t="inlineStr">
        <is>
          <t>MOTALA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11315-2026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46080</v>
      </c>
      <c r="E188" s="1" t="n">
        <v>46226</v>
      </c>
      <c r="F188" t="inlineStr">
        <is>
          <t>ÖSTERGÖTLANDS LÄN</t>
        </is>
      </c>
      <c r="G188" t="inlineStr">
        <is>
          <t>MOTALA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46080</v>
      </c>
      <c r="E189" s="1" t="n">
        <v>46226</v>
      </c>
      <c r="F189" t="inlineStr">
        <is>
          <t>ÖSTERGÖTLANDS LÄN</t>
        </is>
      </c>
      <c r="G189" t="inlineStr">
        <is>
          <t>MOTALA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11320-2026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46080</v>
      </c>
      <c r="E190" s="1" t="n">
        <v>46226</v>
      </c>
      <c r="F190" t="inlineStr">
        <is>
          <t>ÖSTERGÖTLANDS LÄN</t>
        </is>
      </c>
      <c r="G190" t="inlineStr">
        <is>
          <t>MOTALA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40995-2025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46226</v>
      </c>
      <c r="F191" t="inlineStr">
        <is>
          <t>ÖSTERGÖTLANDS LÄN</t>
        </is>
      </c>
      <c r="G191" t="inlineStr">
        <is>
          <t>MOTALA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6991-2023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44967</v>
      </c>
      <c r="E192" s="1" t="n">
        <v>46226</v>
      </c>
      <c r="F192" t="inlineStr">
        <is>
          <t>ÖSTERGÖTLANDS LÄN</t>
        </is>
      </c>
      <c r="G192" t="inlineStr">
        <is>
          <t>MOTALA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44967</v>
      </c>
      <c r="E193" s="1" t="n">
        <v>46226</v>
      </c>
      <c r="F193" t="inlineStr">
        <is>
          <t>ÖSTERGÖTLANDS LÄN</t>
        </is>
      </c>
      <c r="G193" t="inlineStr">
        <is>
          <t>MOTALA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41009-2025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46226</v>
      </c>
      <c r="F194" t="inlineStr">
        <is>
          <t>ÖSTERGÖTLANDS LÄN</t>
        </is>
      </c>
      <c r="G194" t="inlineStr">
        <is>
          <t>MOTALA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15599-2024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45401</v>
      </c>
      <c r="E195" s="1" t="n">
        <v>46226</v>
      </c>
      <c r="F195" t="inlineStr">
        <is>
          <t>ÖSTERGÖTLANDS LÄN</t>
        </is>
      </c>
      <c r="G195" t="inlineStr">
        <is>
          <t>MOTALA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30606-2023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45112</v>
      </c>
      <c r="E196" s="1" t="n">
        <v>46226</v>
      </c>
      <c r="F196" t="inlineStr">
        <is>
          <t>ÖSTERGÖTLANDS LÄN</t>
        </is>
      </c>
      <c r="G196" t="inlineStr">
        <is>
          <t>MOTALA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44776</v>
      </c>
      <c r="E197" s="1" t="n">
        <v>46226</v>
      </c>
      <c r="F197" t="inlineStr">
        <is>
          <t>ÖSTERGÖTLANDS LÄN</t>
        </is>
      </c>
      <c r="G197" t="inlineStr">
        <is>
          <t>MOTALA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12639-2026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46091</v>
      </c>
      <c r="E198" s="1" t="n">
        <v>46226</v>
      </c>
      <c r="F198" t="inlineStr">
        <is>
          <t>ÖSTERGÖTLANDS LÄN</t>
        </is>
      </c>
      <c r="G198" t="inlineStr">
        <is>
          <t>MOTALA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12642-2026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46091</v>
      </c>
      <c r="E199" s="1" t="n">
        <v>46226</v>
      </c>
      <c r="F199" t="inlineStr">
        <is>
          <t>ÖSTERGÖTLANDS LÄN</t>
        </is>
      </c>
      <c r="G199" t="inlineStr">
        <is>
          <t>MOTALA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12627-2026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46091</v>
      </c>
      <c r="E200" s="1" t="n">
        <v>46226</v>
      </c>
      <c r="F200" t="inlineStr">
        <is>
          <t>ÖSTERGÖTLANDS LÄN</t>
        </is>
      </c>
      <c r="G200" t="inlineStr">
        <is>
          <t>MOTALA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12982-2026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46092</v>
      </c>
      <c r="E201" s="1" t="n">
        <v>46226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12968-2026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46092</v>
      </c>
      <c r="E202" s="1" t="n">
        <v>46226</v>
      </c>
      <c r="F202" t="inlineStr">
        <is>
          <t>ÖSTERGÖTLANDS LÄN</t>
        </is>
      </c>
      <c r="G202" t="inlineStr">
        <is>
          <t>MOTALA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12989-2026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46092</v>
      </c>
      <c r="E203" s="1" t="n">
        <v>46226</v>
      </c>
      <c r="F203" t="inlineStr">
        <is>
          <t>ÖSTERGÖTLANDS LÄN</t>
        </is>
      </c>
      <c r="G203" t="inlineStr">
        <is>
          <t>MOTALA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58331-2022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44901</v>
      </c>
      <c r="E204" s="1" t="n">
        <v>46226</v>
      </c>
      <c r="F204" t="inlineStr">
        <is>
          <t>ÖSTERGÖTLANDS LÄN</t>
        </is>
      </c>
      <c r="G204" t="inlineStr">
        <is>
          <t>MOTALA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13303-2026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46094</v>
      </c>
      <c r="E205" s="1" t="n">
        <v>46226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46094</v>
      </c>
      <c r="E206" s="1" t="n">
        <v>46226</v>
      </c>
      <c r="F206" t="inlineStr">
        <is>
          <t>ÖSTERGÖTLANDS LÄN</t>
        </is>
      </c>
      <c r="G206" t="inlineStr">
        <is>
          <t>MOTALA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13298-2026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46094</v>
      </c>
      <c r="E207" s="1" t="n">
        <v>46226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13300-2026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46094</v>
      </c>
      <c r="E208" s="1" t="n">
        <v>46226</v>
      </c>
      <c r="F208" t="inlineStr">
        <is>
          <t>ÖSTERGÖTLANDS LÄN</t>
        </is>
      </c>
      <c r="G208" t="inlineStr">
        <is>
          <t>MOTALA</t>
        </is>
      </c>
      <c r="H208" t="inlineStr">
        <is>
          <t>Sveaskog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44942</v>
      </c>
      <c r="E209" s="1" t="n">
        <v>46226</v>
      </c>
      <c r="F209" t="inlineStr">
        <is>
          <t>ÖSTERGÖTLANDS LÄN</t>
        </is>
      </c>
      <c r="G209" t="inlineStr">
        <is>
          <t>MOTALA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46226</v>
      </c>
      <c r="F210" t="inlineStr">
        <is>
          <t>ÖSTERGÖTLANDS LÄN</t>
        </is>
      </c>
      <c r="G210" t="inlineStr">
        <is>
          <t>MOTALA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45790-2025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45923</v>
      </c>
      <c r="E211" s="1" t="n">
        <v>46226</v>
      </c>
      <c r="F211" t="inlineStr">
        <is>
          <t>ÖSTERGÖTLANDS LÄN</t>
        </is>
      </c>
      <c r="G211" t="inlineStr">
        <is>
          <t>MOTALA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15057-2026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46104</v>
      </c>
      <c r="E212" s="1" t="n">
        <v>46226</v>
      </c>
      <c r="F212" t="inlineStr">
        <is>
          <t>ÖSTERGÖTLANDS LÄN</t>
        </is>
      </c>
      <c r="G212" t="inlineStr">
        <is>
          <t>MOTALA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44865</v>
      </c>
      <c r="E213" s="1" t="n">
        <v>46226</v>
      </c>
      <c r="F213" t="inlineStr">
        <is>
          <t>ÖSTERGÖTLANDS LÄN</t>
        </is>
      </c>
      <c r="G213" t="inlineStr">
        <is>
          <t>MOTALA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46100</v>
      </c>
      <c r="E214" s="1" t="n">
        <v>46226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12.9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56275-2022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44890</v>
      </c>
      <c r="E215" s="1" t="n">
        <v>46226</v>
      </c>
      <c r="F215" t="inlineStr">
        <is>
          <t>ÖSTERGÖTLANDS LÄN</t>
        </is>
      </c>
      <c r="G215" t="inlineStr">
        <is>
          <t>MOTALA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15551-2026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46106</v>
      </c>
      <c r="E216" s="1" t="n">
        <v>46226</v>
      </c>
      <c r="F216" t="inlineStr">
        <is>
          <t>ÖSTERGÖTLANDS LÄN</t>
        </is>
      </c>
      <c r="G216" t="inlineStr">
        <is>
          <t>MOTALA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45831</v>
      </c>
      <c r="E217" s="1" t="n">
        <v>46226</v>
      </c>
      <c r="F217" t="inlineStr">
        <is>
          <t>ÖSTERGÖTLANDS LÄN</t>
        </is>
      </c>
      <c r="G217" t="inlineStr">
        <is>
          <t>MOTALA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15077-2026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46105</v>
      </c>
      <c r="E218" s="1" t="n">
        <v>46226</v>
      </c>
      <c r="F218" t="inlineStr">
        <is>
          <t>ÖSTERGÖTLANDS LÄN</t>
        </is>
      </c>
      <c r="G218" t="inlineStr">
        <is>
          <t>MOTALA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15076-2026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46105</v>
      </c>
      <c r="E219" s="1" t="n">
        <v>46226</v>
      </c>
      <c r="F219" t="inlineStr">
        <is>
          <t>ÖSTERGÖTLANDS LÄN</t>
        </is>
      </c>
      <c r="G219" t="inlineStr">
        <is>
          <t>MOTALA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46105</v>
      </c>
      <c r="E220" s="1" t="n">
        <v>46226</v>
      </c>
      <c r="F220" t="inlineStr">
        <is>
          <t>ÖSTERGÖTLANDS LÄN</t>
        </is>
      </c>
      <c r="G220" t="inlineStr">
        <is>
          <t>MOTALA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26785-2024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45470</v>
      </c>
      <c r="E221" s="1" t="n">
        <v>46226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7.2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61002-2022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44914</v>
      </c>
      <c r="E222" s="1" t="n">
        <v>46226</v>
      </c>
      <c r="F222" t="inlineStr">
        <is>
          <t>ÖSTERGÖTLANDS LÄN</t>
        </is>
      </c>
      <c r="G222" t="inlineStr">
        <is>
          <t>MOTALA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46226</v>
      </c>
      <c r="F223" t="inlineStr">
        <is>
          <t>ÖSTERGÖTLANDS LÄN</t>
        </is>
      </c>
      <c r="G223" t="inlineStr">
        <is>
          <t>MOTALA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47282-2025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45930</v>
      </c>
      <c r="E224" s="1" t="n">
        <v>46226</v>
      </c>
      <c r="F224" t="inlineStr">
        <is>
          <t>ÖSTERGÖTLANDS LÄN</t>
        </is>
      </c>
      <c r="G224" t="inlineStr">
        <is>
          <t>MOTALA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47351-2025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46226</v>
      </c>
      <c r="F225" t="inlineStr">
        <is>
          <t>ÖSTERGÖTLANDS LÄN</t>
        </is>
      </c>
      <c r="G225" t="inlineStr">
        <is>
          <t>MOTALA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47359-2025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46226</v>
      </c>
      <c r="F226" t="inlineStr">
        <is>
          <t>ÖSTERGÖTLANDS LÄN</t>
        </is>
      </c>
      <c r="G226" t="inlineStr">
        <is>
          <t>MOTALA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46226</v>
      </c>
      <c r="F227" t="inlineStr">
        <is>
          <t>ÖSTERGÖTLANDS LÄN</t>
        </is>
      </c>
      <c r="G227" t="inlineStr">
        <is>
          <t>MOTALA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55277-2023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45237</v>
      </c>
      <c r="E228" s="1" t="n">
        <v>46226</v>
      </c>
      <c r="F228" t="inlineStr">
        <is>
          <t>ÖSTERGÖTLANDS LÄN</t>
        </is>
      </c>
      <c r="G228" t="inlineStr">
        <is>
          <t>MOTALA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47326-2025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45930</v>
      </c>
      <c r="E229" s="1" t="n">
        <v>46226</v>
      </c>
      <c r="F229" t="inlineStr">
        <is>
          <t>ÖSTERGÖTLANDS LÄN</t>
        </is>
      </c>
      <c r="G229" t="inlineStr">
        <is>
          <t>MOTALA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44830</v>
      </c>
      <c r="E230" s="1" t="n">
        <v>46226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45930</v>
      </c>
      <c r="E231" s="1" t="n">
        <v>46226</v>
      </c>
      <c r="F231" t="inlineStr">
        <is>
          <t>ÖSTERGÖTLANDS LÄN</t>
        </is>
      </c>
      <c r="G231" t="inlineStr">
        <is>
          <t>MOTALA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46226</v>
      </c>
      <c r="F232" t="inlineStr">
        <is>
          <t>ÖSTERGÖTLANDS LÄN</t>
        </is>
      </c>
      <c r="G232" t="inlineStr">
        <is>
          <t>MOTALA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13422-2022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44645</v>
      </c>
      <c r="E233" s="1" t="n">
        <v>46226</v>
      </c>
      <c r="F233" t="inlineStr">
        <is>
          <t>ÖSTERGÖTLANDS LÄN</t>
        </is>
      </c>
      <c r="G233" t="inlineStr">
        <is>
          <t>MOTALA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41924-2022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44830</v>
      </c>
      <c r="E234" s="1" t="n">
        <v>46226</v>
      </c>
      <c r="F234" t="inlineStr">
        <is>
          <t>ÖSTERGÖTLANDS LÄN</t>
        </is>
      </c>
      <c r="G234" t="inlineStr">
        <is>
          <t>MOTALA</t>
        </is>
      </c>
      <c r="H234" t="inlineStr">
        <is>
          <t>Sveaskog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44830</v>
      </c>
      <c r="E235" s="1" t="n">
        <v>46226</v>
      </c>
      <c r="F235" t="inlineStr">
        <is>
          <t>ÖSTERGÖTLANDS LÄN</t>
        </is>
      </c>
      <c r="G235" t="inlineStr">
        <is>
          <t>MOTALA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41929-2022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44830</v>
      </c>
      <c r="E236" s="1" t="n">
        <v>46226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7051-2024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45343</v>
      </c>
      <c r="E237" s="1" t="n">
        <v>46226</v>
      </c>
      <c r="F237" t="inlineStr">
        <is>
          <t>ÖSTERGÖTLANDS LÄN</t>
        </is>
      </c>
      <c r="G237" t="inlineStr">
        <is>
          <t>MOTALA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45099-2023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46226</v>
      </c>
      <c r="F238" t="inlineStr">
        <is>
          <t>ÖSTERGÖTLANDS LÄN</t>
        </is>
      </c>
      <c r="G238" t="inlineStr">
        <is>
          <t>MOTALA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11061-2022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44628</v>
      </c>
      <c r="E239" s="1" t="n">
        <v>46226</v>
      </c>
      <c r="F239" t="inlineStr">
        <is>
          <t>ÖSTERGÖTLANDS LÄN</t>
        </is>
      </c>
      <c r="G239" t="inlineStr">
        <is>
          <t>MOTALA</t>
        </is>
      </c>
      <c r="H239" t="inlineStr">
        <is>
          <t>Allmännings- och besparingsskogar</t>
        </is>
      </c>
      <c r="I239" t="n">
        <v>5.8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49456-2025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45939</v>
      </c>
      <c r="E240" s="1" t="n">
        <v>46226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49147-2025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46226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49149-2025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46226</v>
      </c>
      <c r="F242" t="inlineStr">
        <is>
          <t>ÖSTERGÖTLANDS LÄN</t>
        </is>
      </c>
      <c r="G242" t="inlineStr">
        <is>
          <t>MOTALA</t>
        </is>
      </c>
      <c r="H242" t="inlineStr">
        <is>
          <t>Sveaskog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46226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17937-2026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46226</v>
      </c>
      <c r="F244" t="inlineStr">
        <is>
          <t>ÖSTERGÖTLANDS LÄN</t>
        </is>
      </c>
      <c r="G244" t="inlineStr">
        <is>
          <t>MOTALA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57992-2021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44487</v>
      </c>
      <c r="E245" s="1" t="n">
        <v>46226</v>
      </c>
      <c r="F245" t="inlineStr">
        <is>
          <t>ÖSTERGÖTLANDS LÄN</t>
        </is>
      </c>
      <c r="G245" t="inlineStr">
        <is>
          <t>MOTALA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45839</v>
      </c>
      <c r="E246" s="1" t="n">
        <v>46226</v>
      </c>
      <c r="F246" t="inlineStr">
        <is>
          <t>ÖSTERGÖTLANDS LÄN</t>
        </is>
      </c>
      <c r="G246" t="inlineStr">
        <is>
          <t>MOTALA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50514-2025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45945</v>
      </c>
      <c r="E247" s="1" t="n">
        <v>46226</v>
      </c>
      <c r="F247" t="inlineStr">
        <is>
          <t>ÖSTERGÖTLANDS LÄN</t>
        </is>
      </c>
      <c r="G247" t="inlineStr">
        <is>
          <t>MOTALA</t>
        </is>
      </c>
      <c r="I247" t="n">
        <v>7.6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6990-2023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44967</v>
      </c>
      <c r="E248" s="1" t="n">
        <v>46226</v>
      </c>
      <c r="F248" t="inlineStr">
        <is>
          <t>ÖSTERGÖTLANDS LÄN</t>
        </is>
      </c>
      <c r="G248" t="inlineStr">
        <is>
          <t>MOTALA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6992-2023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44967</v>
      </c>
      <c r="E249" s="1" t="n">
        <v>46226</v>
      </c>
      <c r="F249" t="inlineStr">
        <is>
          <t>ÖSTERGÖTLANDS LÄN</t>
        </is>
      </c>
      <c r="G249" t="inlineStr">
        <is>
          <t>MOTALA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50786-2025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46226</v>
      </c>
      <c r="F250" t="inlineStr">
        <is>
          <t>ÖSTERGÖTLANDS LÄN</t>
        </is>
      </c>
      <c r="G250" t="inlineStr">
        <is>
          <t>MOTALA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50082-2022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44865</v>
      </c>
      <c r="E251" s="1" t="n">
        <v>46226</v>
      </c>
      <c r="F251" t="inlineStr">
        <is>
          <t>ÖSTERGÖTLANDS LÄN</t>
        </is>
      </c>
      <c r="G251" t="inlineStr">
        <is>
          <t>MOTALA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60610-2022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44911</v>
      </c>
      <c r="E252" s="1" t="n">
        <v>46226</v>
      </c>
      <c r="F252" t="inlineStr">
        <is>
          <t>ÖSTERGÖTLANDS LÄN</t>
        </is>
      </c>
      <c r="G252" t="inlineStr">
        <is>
          <t>MOTALA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27896-2025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45817</v>
      </c>
      <c r="E253" s="1" t="n">
        <v>46226</v>
      </c>
      <c r="F253" t="inlineStr">
        <is>
          <t>ÖSTERGÖTLANDS LÄN</t>
        </is>
      </c>
      <c r="G253" t="inlineStr">
        <is>
          <t>MOTALA</t>
        </is>
      </c>
      <c r="I253" t="n">
        <v>8.4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46226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11.6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19110-2026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46226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55395-2022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44887</v>
      </c>
      <c r="E256" s="1" t="n">
        <v>46226</v>
      </c>
      <c r="F256" t="inlineStr">
        <is>
          <t>ÖSTERGÖTLANDS LÄN</t>
        </is>
      </c>
      <c r="G256" t="inlineStr">
        <is>
          <t>MOTALA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1301-2023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44931</v>
      </c>
      <c r="E257" s="1" t="n">
        <v>46226</v>
      </c>
      <c r="F257" t="inlineStr">
        <is>
          <t>ÖSTERGÖTLANDS LÄN</t>
        </is>
      </c>
      <c r="G257" t="inlineStr">
        <is>
          <t>MOTALA</t>
        </is>
      </c>
      <c r="H257" t="inlineStr">
        <is>
          <t>Övriga statliga verk och myndigheter</t>
        </is>
      </c>
      <c r="I257" t="n">
        <v>7.7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28202-2023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45099</v>
      </c>
      <c r="E258" s="1" t="n">
        <v>46226</v>
      </c>
      <c r="F258" t="inlineStr">
        <is>
          <t>ÖSTERGÖTLANDS LÄN</t>
        </is>
      </c>
      <c r="G258" t="inlineStr">
        <is>
          <t>MOTALA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5773-2024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45335</v>
      </c>
      <c r="E259" s="1" t="n">
        <v>46226</v>
      </c>
      <c r="F259" t="inlineStr">
        <is>
          <t>ÖSTERGÖTLANDS LÄN</t>
        </is>
      </c>
      <c r="G259" t="inlineStr">
        <is>
          <t>MOTALA</t>
        </is>
      </c>
      <c r="H259" t="inlineStr">
        <is>
          <t>Sveaskog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22108-2023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45069</v>
      </c>
      <c r="E260" s="1" t="n">
        <v>46226</v>
      </c>
      <c r="F260" t="inlineStr">
        <is>
          <t>ÖSTERGÖTLANDS LÄN</t>
        </is>
      </c>
      <c r="G260" t="inlineStr">
        <is>
          <t>MOTALA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3030-2024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45316</v>
      </c>
      <c r="E261" s="1" t="n">
        <v>46226</v>
      </c>
      <c r="F261" t="inlineStr">
        <is>
          <t>ÖSTERGÖTLANDS LÄN</t>
        </is>
      </c>
      <c r="G261" t="inlineStr">
        <is>
          <t>MOTALA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21046-2024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45439</v>
      </c>
      <c r="E262" s="1" t="n">
        <v>46226</v>
      </c>
      <c r="F262" t="inlineStr">
        <is>
          <t>ÖSTERGÖTLANDS LÄN</t>
        </is>
      </c>
      <c r="G262" t="inlineStr">
        <is>
          <t>MOTALA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50180-2023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45215</v>
      </c>
      <c r="E263" s="1" t="n">
        <v>46226</v>
      </c>
      <c r="F263" t="inlineStr">
        <is>
          <t>ÖSTERGÖTLANDS LÄN</t>
        </is>
      </c>
      <c r="G263" t="inlineStr">
        <is>
          <t>MOTALA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44861-2024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45575</v>
      </c>
      <c r="E264" s="1" t="n">
        <v>46226</v>
      </c>
      <c r="F264" t="inlineStr">
        <is>
          <t>ÖSTERGÖTLANDS LÄN</t>
        </is>
      </c>
      <c r="G264" t="inlineStr">
        <is>
          <t>MOTALA</t>
        </is>
      </c>
      <c r="I264" t="n">
        <v>4.1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50126-2023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45215</v>
      </c>
      <c r="E265" s="1" t="n">
        <v>46226</v>
      </c>
      <c r="F265" t="inlineStr">
        <is>
          <t>ÖSTERGÖTLANDS LÄN</t>
        </is>
      </c>
      <c r="G265" t="inlineStr">
        <is>
          <t>MOTALA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54264-2025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45964</v>
      </c>
      <c r="E266" s="1" t="n">
        <v>46226</v>
      </c>
      <c r="F266" t="inlineStr">
        <is>
          <t>ÖSTERGÖTLANDS LÄN</t>
        </is>
      </c>
      <c r="G266" t="inlineStr">
        <is>
          <t>MOTALA</t>
        </is>
      </c>
      <c r="H266" t="inlineStr">
        <is>
          <t>Sveaskog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11463-2025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45726</v>
      </c>
      <c r="E267" s="1" t="n">
        <v>46226</v>
      </c>
      <c r="F267" t="inlineStr">
        <is>
          <t>ÖSTERGÖTLANDS LÄN</t>
        </is>
      </c>
      <c r="G267" t="inlineStr">
        <is>
          <t>MOTALA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4743-2022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44592</v>
      </c>
      <c r="E268" s="1" t="n">
        <v>46226</v>
      </c>
      <c r="F268" t="inlineStr">
        <is>
          <t>ÖSTERGÖTLANDS LÄN</t>
        </is>
      </c>
      <c r="G268" t="inlineStr">
        <is>
          <t>MOTALA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46226</v>
      </c>
      <c r="F269" t="inlineStr">
        <is>
          <t>ÖSTERGÖTLANDS LÄN</t>
        </is>
      </c>
      <c r="G269" t="inlineStr">
        <is>
          <t>MOTALA</t>
        </is>
      </c>
      <c r="I269" t="n">
        <v>8.4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54171-2025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45964</v>
      </c>
      <c r="E270" s="1" t="n">
        <v>46226</v>
      </c>
      <c r="F270" t="inlineStr">
        <is>
          <t>ÖSTERGÖTLANDS LÄN</t>
        </is>
      </c>
      <c r="G270" t="inlineStr">
        <is>
          <t>MOTALA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45237-2024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45575</v>
      </c>
      <c r="E271" s="1" t="n">
        <v>46226</v>
      </c>
      <c r="F271" t="inlineStr">
        <is>
          <t>ÖSTERGÖTLANDS LÄN</t>
        </is>
      </c>
      <c r="G271" t="inlineStr">
        <is>
          <t>MOTALA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46226</v>
      </c>
      <c r="F272" t="inlineStr">
        <is>
          <t>ÖSTERGÖTLANDS LÄN</t>
        </is>
      </c>
      <c r="G272" t="inlineStr">
        <is>
          <t>MOTALA</t>
        </is>
      </c>
      <c r="I272" t="n">
        <v>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26350-2025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45805</v>
      </c>
      <c r="E273" s="1" t="n">
        <v>46226</v>
      </c>
      <c r="F273" t="inlineStr">
        <is>
          <t>ÖSTERGÖTLANDS LÄN</t>
        </is>
      </c>
      <c r="G273" t="inlineStr">
        <is>
          <t>MOTALA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52385-2025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46226</v>
      </c>
      <c r="F274" t="inlineStr">
        <is>
          <t>ÖSTERGÖTLANDS LÄN</t>
        </is>
      </c>
      <c r="G274" t="inlineStr">
        <is>
          <t>MOTALA</t>
        </is>
      </c>
      <c r="H274" t="inlineStr">
        <is>
          <t>Sveaskog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54125-2022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44881</v>
      </c>
      <c r="E275" s="1" t="n">
        <v>46226</v>
      </c>
      <c r="F275" t="inlineStr">
        <is>
          <t>ÖSTERGÖTLANDS LÄN</t>
        </is>
      </c>
      <c r="G275" t="inlineStr">
        <is>
          <t>MOTALA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24507-2025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45798</v>
      </c>
      <c r="E276" s="1" t="n">
        <v>46226</v>
      </c>
      <c r="F276" t="inlineStr">
        <is>
          <t>ÖSTERGÖTLANDS LÄN</t>
        </is>
      </c>
      <c r="G276" t="inlineStr">
        <is>
          <t>MOTALA</t>
        </is>
      </c>
      <c r="H276" t="inlineStr">
        <is>
          <t>Sveaskog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55025-2024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45621</v>
      </c>
      <c r="E277" s="1" t="n">
        <v>46226</v>
      </c>
      <c r="F277" t="inlineStr">
        <is>
          <t>ÖSTERGÖTLANDS LÄN</t>
        </is>
      </c>
      <c r="G277" t="inlineStr">
        <is>
          <t>MOTALA</t>
        </is>
      </c>
      <c r="H277" t="inlineStr">
        <is>
          <t>Sveaskog</t>
        </is>
      </c>
      <c r="I277" t="n">
        <v>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45659</v>
      </c>
      <c r="E278" s="1" t="n">
        <v>46226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58385-2025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45985</v>
      </c>
      <c r="E279" s="1" t="n">
        <v>46226</v>
      </c>
      <c r="F279" t="inlineStr">
        <is>
          <t>ÖSTERGÖTLANDS LÄN</t>
        </is>
      </c>
      <c r="G279" t="inlineStr">
        <is>
          <t>MOTALA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45279</v>
      </c>
      <c r="E280" s="1" t="n">
        <v>46226</v>
      </c>
      <c r="F280" t="inlineStr">
        <is>
          <t>ÖSTERGÖTLANDS LÄN</t>
        </is>
      </c>
      <c r="G280" t="inlineStr">
        <is>
          <t>MOTALA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15543-2025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45747</v>
      </c>
      <c r="E281" s="1" t="n">
        <v>46226</v>
      </c>
      <c r="F281" t="inlineStr">
        <is>
          <t>ÖSTERGÖTLANDS LÄN</t>
        </is>
      </c>
      <c r="G281" t="inlineStr">
        <is>
          <t>MOTALA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48684-2024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45593</v>
      </c>
      <c r="E282" s="1" t="n">
        <v>46226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37618-2025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45880</v>
      </c>
      <c r="E283" s="1" t="n">
        <v>46226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32889-2025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45839</v>
      </c>
      <c r="E284" s="1" t="n">
        <v>46226</v>
      </c>
      <c r="F284" t="inlineStr">
        <is>
          <t>ÖSTERGÖTLANDS LÄN</t>
        </is>
      </c>
      <c r="G284" t="inlineStr">
        <is>
          <t>MOTALA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31753-2022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44776</v>
      </c>
      <c r="E285" s="1" t="n">
        <v>46226</v>
      </c>
      <c r="F285" t="inlineStr">
        <is>
          <t>ÖSTERGÖTLANDS LÄN</t>
        </is>
      </c>
      <c r="G285" t="inlineStr">
        <is>
          <t>MOTALA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44951</v>
      </c>
      <c r="E286" s="1" t="n">
        <v>46226</v>
      </c>
      <c r="F286" t="inlineStr">
        <is>
          <t>ÖSTERGÖTLANDS LÄN</t>
        </is>
      </c>
      <c r="G286" t="inlineStr">
        <is>
          <t>MOTALA</t>
        </is>
      </c>
      <c r="H286" t="inlineStr">
        <is>
          <t>Holmen skog AB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8111-2024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45351</v>
      </c>
      <c r="E287" s="1" t="n">
        <v>46226</v>
      </c>
      <c r="F287" t="inlineStr">
        <is>
          <t>ÖSTERGÖTLANDS LÄN</t>
        </is>
      </c>
      <c r="G287" t="inlineStr">
        <is>
          <t>MOTALA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40191-2021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44418</v>
      </c>
      <c r="E288" s="1" t="n">
        <v>46226</v>
      </c>
      <c r="F288" t="inlineStr">
        <is>
          <t>ÖSTERGÖTLANDS LÄN</t>
        </is>
      </c>
      <c r="G288" t="inlineStr">
        <is>
          <t>MOTALA</t>
        </is>
      </c>
      <c r="I288" t="n">
        <v>11.2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31441-2023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45114</v>
      </c>
      <c r="E289" s="1" t="n">
        <v>46226</v>
      </c>
      <c r="F289" t="inlineStr">
        <is>
          <t>ÖSTERGÖTLANDS LÄN</t>
        </is>
      </c>
      <c r="G289" t="inlineStr">
        <is>
          <t>MOTALA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24701-2024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45460</v>
      </c>
      <c r="E290" s="1" t="n">
        <v>46226</v>
      </c>
      <c r="F290" t="inlineStr">
        <is>
          <t>ÖSTERGÖTLANDS LÄN</t>
        </is>
      </c>
      <c r="G290" t="inlineStr">
        <is>
          <t>MOTALA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44868-2024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45575</v>
      </c>
      <c r="E291" s="1" t="n">
        <v>46226</v>
      </c>
      <c r="F291" t="inlineStr">
        <is>
          <t>ÖSTERGÖTLANDS LÄN</t>
        </is>
      </c>
      <c r="G291" t="inlineStr">
        <is>
          <t>MOTALA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22113-2023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45069</v>
      </c>
      <c r="E292" s="1" t="n">
        <v>46226</v>
      </c>
      <c r="F292" t="inlineStr">
        <is>
          <t>ÖSTERGÖTLANDS LÄN</t>
        </is>
      </c>
      <c r="G292" t="inlineStr">
        <is>
          <t>MOTALA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20815-2026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46141</v>
      </c>
      <c r="E293" s="1" t="n">
        <v>46226</v>
      </c>
      <c r="F293" t="inlineStr">
        <is>
          <t>ÖSTERGÖTLANDS LÄN</t>
        </is>
      </c>
      <c r="G293" t="inlineStr">
        <is>
          <t>MOTALA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61938-2025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46003</v>
      </c>
      <c r="E294" s="1" t="n">
        <v>46226</v>
      </c>
      <c r="F294" t="inlineStr">
        <is>
          <t>ÖSTERGÖTLANDS LÄN</t>
        </is>
      </c>
      <c r="G294" t="inlineStr">
        <is>
          <t>MOTALA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60742-2025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45998</v>
      </c>
      <c r="E295" s="1" t="n">
        <v>46226</v>
      </c>
      <c r="F295" t="inlineStr">
        <is>
          <t>ÖSTERGÖTLANDS LÄN</t>
        </is>
      </c>
      <c r="G295" t="inlineStr">
        <is>
          <t>MOTALA</t>
        </is>
      </c>
      <c r="I295" t="n">
        <v>15.9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20833-2026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46142</v>
      </c>
      <c r="E296" s="1" t="n">
        <v>46226</v>
      </c>
      <c r="F296" t="inlineStr">
        <is>
          <t>ÖSTERGÖTLANDS LÄN</t>
        </is>
      </c>
      <c r="G296" t="inlineStr">
        <is>
          <t>MOTALA</t>
        </is>
      </c>
      <c r="H296" t="inlineStr">
        <is>
          <t>Sveaskog</t>
        </is>
      </c>
      <c r="I296" t="n">
        <v>20.4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61952-2025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46003</v>
      </c>
      <c r="E297" s="1" t="n">
        <v>46226</v>
      </c>
      <c r="F297" t="inlineStr">
        <is>
          <t>ÖSTERGÖTLANDS LÄN</t>
        </is>
      </c>
      <c r="G297" t="inlineStr">
        <is>
          <t>MOTALA</t>
        </is>
      </c>
      <c r="I297" t="n">
        <v>5.4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53820-2024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45615</v>
      </c>
      <c r="E298" s="1" t="n">
        <v>46226</v>
      </c>
      <c r="F298" t="inlineStr">
        <is>
          <t>ÖSTERGÖTLANDS LÄN</t>
        </is>
      </c>
      <c r="G298" t="inlineStr">
        <is>
          <t>MOTALA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27220-2023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45092</v>
      </c>
      <c r="E299" s="1" t="n">
        <v>46226</v>
      </c>
      <c r="F299" t="inlineStr">
        <is>
          <t>ÖSTERGÖTLANDS LÄN</t>
        </is>
      </c>
      <c r="G299" t="inlineStr">
        <is>
          <t>MOTALA</t>
        </is>
      </c>
      <c r="H299" t="inlineStr">
        <is>
          <t>Övriga statliga verk och myndigheter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45243</v>
      </c>
      <c r="E300" s="1" t="n">
        <v>46226</v>
      </c>
      <c r="F300" t="inlineStr">
        <is>
          <t>ÖSTERGÖTLANDS LÄN</t>
        </is>
      </c>
      <c r="G300" t="inlineStr">
        <is>
          <t>MOTALA</t>
        </is>
      </c>
      <c r="H300" t="inlineStr">
        <is>
          <t>Övriga statliga verk och myndigheter</t>
        </is>
      </c>
      <c r="I300" t="n">
        <v>12.2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20832-2026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46142</v>
      </c>
      <c r="E301" s="1" t="n">
        <v>46226</v>
      </c>
      <c r="F301" t="inlineStr">
        <is>
          <t>ÖSTERGÖTLANDS LÄN</t>
        </is>
      </c>
      <c r="G301" t="inlineStr">
        <is>
          <t>MOTALA</t>
        </is>
      </c>
      <c r="H301" t="inlineStr">
        <is>
          <t>Sveaskog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20834-2026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46142</v>
      </c>
      <c r="E302" s="1" t="n">
        <v>46226</v>
      </c>
      <c r="F302" t="inlineStr">
        <is>
          <t>ÖSTERGÖTLANDS LÄN</t>
        </is>
      </c>
      <c r="G302" t="inlineStr">
        <is>
          <t>MOTALA</t>
        </is>
      </c>
      <c r="H302" t="inlineStr">
        <is>
          <t>Sveaskog</t>
        </is>
      </c>
      <c r="I302" t="n">
        <v>6.7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29523-2024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45484</v>
      </c>
      <c r="E303" s="1" t="n">
        <v>46226</v>
      </c>
      <c r="F303" t="inlineStr">
        <is>
          <t>ÖSTERGÖTLANDS LÄN</t>
        </is>
      </c>
      <c r="G303" t="inlineStr">
        <is>
          <t>MOTALA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71205-2021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44539</v>
      </c>
      <c r="E304" s="1" t="n">
        <v>46226</v>
      </c>
      <c r="F304" t="inlineStr">
        <is>
          <t>ÖSTERGÖTLANDS LÄN</t>
        </is>
      </c>
      <c r="G304" t="inlineStr">
        <is>
          <t>MOTALA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46226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28686-2022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44748</v>
      </c>
      <c r="E306" s="1" t="n">
        <v>46226</v>
      </c>
      <c r="F306" t="inlineStr">
        <is>
          <t>ÖSTERGÖTLANDS LÄN</t>
        </is>
      </c>
      <c r="G306" t="inlineStr">
        <is>
          <t>MOTALA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44942</v>
      </c>
      <c r="E307" s="1" t="n">
        <v>46226</v>
      </c>
      <c r="F307" t="inlineStr">
        <is>
          <t>ÖSTERGÖTLANDS LÄN</t>
        </is>
      </c>
      <c r="G307" t="inlineStr">
        <is>
          <t>MOTALA</t>
        </is>
      </c>
      <c r="I307" t="n">
        <v>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18458-2024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45425</v>
      </c>
      <c r="E308" s="1" t="n">
        <v>46226</v>
      </c>
      <c r="F308" t="inlineStr">
        <is>
          <t>ÖSTERGÖTLANDS LÄN</t>
        </is>
      </c>
      <c r="G308" t="inlineStr">
        <is>
          <t>MOTALA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24247-2022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44725</v>
      </c>
      <c r="E309" s="1" t="n">
        <v>46226</v>
      </c>
      <c r="F309" t="inlineStr">
        <is>
          <t>ÖSTERGÖTLANDS LÄN</t>
        </is>
      </c>
      <c r="G309" t="inlineStr">
        <is>
          <t>MOTALA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46226</v>
      </c>
      <c r="F310" t="inlineStr">
        <is>
          <t>ÖSTERGÖTLANDS LÄN</t>
        </is>
      </c>
      <c r="G310" t="inlineStr">
        <is>
          <t>MOTALA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27089-2026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46188</v>
      </c>
      <c r="E311" s="1" t="n">
        <v>46226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7.4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18921-2024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45427</v>
      </c>
      <c r="E312" s="1" t="n">
        <v>46226</v>
      </c>
      <c r="F312" t="inlineStr">
        <is>
          <t>ÖSTERGÖTLANDS LÄN</t>
        </is>
      </c>
      <c r="G312" t="inlineStr">
        <is>
          <t>MOTALA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44958</v>
      </c>
      <c r="E313" s="1" t="n">
        <v>46226</v>
      </c>
      <c r="F313" t="inlineStr">
        <is>
          <t>ÖSTERGÖTLANDS LÄN</t>
        </is>
      </c>
      <c r="G313" t="inlineStr">
        <is>
          <t>MOTALA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28194-2023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45099</v>
      </c>
      <c r="E314" s="1" t="n">
        <v>46226</v>
      </c>
      <c r="F314" t="inlineStr">
        <is>
          <t>ÖSTERGÖTLANDS LÄN</t>
        </is>
      </c>
      <c r="G314" t="inlineStr">
        <is>
          <t>MOTALA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27694-2026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46226</v>
      </c>
      <c r="F315" t="inlineStr">
        <is>
          <t>ÖSTERGÖTLANDS LÄN</t>
        </is>
      </c>
      <c r="G315" t="inlineStr">
        <is>
          <t>MOTALA</t>
        </is>
      </c>
      <c r="H315" t="inlineStr">
        <is>
          <t>Allmännings- och besparingsskogar</t>
        </is>
      </c>
      <c r="I315" t="n">
        <v>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49627-2021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44455</v>
      </c>
      <c r="E316" s="1" t="n">
        <v>46226</v>
      </c>
      <c r="F316" t="inlineStr">
        <is>
          <t>ÖSTERGÖTLANDS LÄN</t>
        </is>
      </c>
      <c r="G316" t="inlineStr">
        <is>
          <t>MOTALA</t>
        </is>
      </c>
      <c r="I316" t="n">
        <v>14.2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27591-2026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46190</v>
      </c>
      <c r="E317" s="1" t="n">
        <v>46226</v>
      </c>
      <c r="F317" t="inlineStr">
        <is>
          <t>ÖSTERGÖTLANDS LÄN</t>
        </is>
      </c>
      <c r="G317" t="inlineStr">
        <is>
          <t>MOTALA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27735-2026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46191</v>
      </c>
      <c r="E318" s="1" t="n">
        <v>46226</v>
      </c>
      <c r="F318" t="inlineStr">
        <is>
          <t>ÖSTERGÖTLANDS LÄN</t>
        </is>
      </c>
      <c r="G318" t="inlineStr">
        <is>
          <t>MOTALA</t>
        </is>
      </c>
      <c r="H318" t="inlineStr">
        <is>
          <t>Holmen skog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27587-2026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46226</v>
      </c>
      <c r="F319" t="inlineStr">
        <is>
          <t>ÖSTERGÖTLANDS LÄN</t>
        </is>
      </c>
      <c r="G319" t="inlineStr">
        <is>
          <t>MOTALA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27695-2026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46226</v>
      </c>
      <c r="F320" t="inlineStr">
        <is>
          <t>ÖSTERGÖTLANDS LÄN</t>
        </is>
      </c>
      <c r="G320" t="inlineStr">
        <is>
          <t>MOTALA</t>
        </is>
      </c>
      <c r="H320" t="inlineStr">
        <is>
          <t>Allmännings- och besparingsskogar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46034</v>
      </c>
      <c r="E321" s="1" t="n">
        <v>46226</v>
      </c>
      <c r="F321" t="inlineStr">
        <is>
          <t>ÖSTERGÖTLANDS LÄN</t>
        </is>
      </c>
      <c r="G321" t="inlineStr">
        <is>
          <t>MOTALA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56325-2024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45624</v>
      </c>
      <c r="E322" s="1" t="n">
        <v>46226</v>
      </c>
      <c r="F322" t="inlineStr">
        <is>
          <t>ÖSTERGÖTLANDS LÄN</t>
        </is>
      </c>
      <c r="G322" t="inlineStr">
        <is>
          <t>MOTALA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43695-2021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44433</v>
      </c>
      <c r="E323" s="1" t="n">
        <v>46226</v>
      </c>
      <c r="F323" t="inlineStr">
        <is>
          <t>ÖSTERGÖTLANDS LÄN</t>
        </is>
      </c>
      <c r="G323" t="inlineStr">
        <is>
          <t>MOTALA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65566-2021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44516</v>
      </c>
      <c r="E324" s="1" t="n">
        <v>46226</v>
      </c>
      <c r="F324" t="inlineStr">
        <is>
          <t>ÖSTERGÖTLANDS LÄN</t>
        </is>
      </c>
      <c r="G324" t="inlineStr">
        <is>
          <t>MOTALA</t>
        </is>
      </c>
      <c r="I324" t="n">
        <v>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27161-2025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45812</v>
      </c>
      <c r="E325" s="1" t="n">
        <v>46226</v>
      </c>
      <c r="F325" t="inlineStr">
        <is>
          <t>ÖSTERGÖTLANDS LÄN</t>
        </is>
      </c>
      <c r="G325" t="inlineStr">
        <is>
          <t>MOTALA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61434-2025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46226</v>
      </c>
      <c r="F326" t="inlineStr">
        <is>
          <t>ÖSTERGÖTLANDS LÄN</t>
        </is>
      </c>
      <c r="G326" t="inlineStr">
        <is>
          <t>MOTALA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28700-2026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46198</v>
      </c>
      <c r="E327" s="1" t="n">
        <v>46226</v>
      </c>
      <c r="F327" t="inlineStr">
        <is>
          <t>ÖSTERGÖTLANDS LÄN</t>
        </is>
      </c>
      <c r="G327" t="inlineStr">
        <is>
          <t>MOTALA</t>
        </is>
      </c>
      <c r="H327" t="inlineStr">
        <is>
          <t>Allmännings- och besparingsskogar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29028-2026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46199</v>
      </c>
      <c r="E328" s="1" t="n">
        <v>46226</v>
      </c>
      <c r="F328" t="inlineStr">
        <is>
          <t>ÖSTERGÖTLANDS LÄN</t>
        </is>
      </c>
      <c r="G328" t="inlineStr">
        <is>
          <t>MOTALA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6277-2026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46055</v>
      </c>
      <c r="E329" s="1" t="n">
        <v>46226</v>
      </c>
      <c r="F329" t="inlineStr">
        <is>
          <t>ÖSTERGÖTLANDS LÄN</t>
        </is>
      </c>
      <c r="G329" t="inlineStr">
        <is>
          <t>MOTALA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28678-2026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46198</v>
      </c>
      <c r="E330" s="1" t="n">
        <v>46226</v>
      </c>
      <c r="F330" t="inlineStr">
        <is>
          <t>ÖSTERGÖTLANDS LÄN</t>
        </is>
      </c>
      <c r="G330" t="inlineStr">
        <is>
          <t>MOTALA</t>
        </is>
      </c>
      <c r="H330" t="inlineStr">
        <is>
          <t>Allmännings- och besparingsskogar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28684-2026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46198</v>
      </c>
      <c r="E331" s="1" t="n">
        <v>46226</v>
      </c>
      <c r="F331" t="inlineStr">
        <is>
          <t>ÖSTERGÖTLANDS LÄN</t>
        </is>
      </c>
      <c r="G331" t="inlineStr">
        <is>
          <t>MOTALA</t>
        </is>
      </c>
      <c r="H331" t="inlineStr">
        <is>
          <t>Allmännings- och besparingsskogar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28699-2026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46198</v>
      </c>
      <c r="E332" s="1" t="n">
        <v>46226</v>
      </c>
      <c r="F332" t="inlineStr">
        <is>
          <t>ÖSTERGÖTLANDS LÄN</t>
        </is>
      </c>
      <c r="G332" t="inlineStr">
        <is>
          <t>MOTALA</t>
        </is>
      </c>
      <c r="H332" t="inlineStr">
        <is>
          <t>Allmännings- och besparingsskogar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29525-2024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45484</v>
      </c>
      <c r="E333" s="1" t="n">
        <v>46226</v>
      </c>
      <c r="F333" t="inlineStr">
        <is>
          <t>ÖSTERGÖTLANDS LÄN</t>
        </is>
      </c>
      <c r="G333" t="inlineStr">
        <is>
          <t>MOTALA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49249-2023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45205</v>
      </c>
      <c r="E334" s="1" t="n">
        <v>46226</v>
      </c>
      <c r="F334" t="inlineStr">
        <is>
          <t>ÖSTERGÖTLANDS LÄN</t>
        </is>
      </c>
      <c r="G334" t="inlineStr">
        <is>
          <t>MOTALA</t>
        </is>
      </c>
      <c r="H334" t="inlineStr">
        <is>
          <t>Övriga statliga verk och myndigheter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22795-2026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46158</v>
      </c>
      <c r="E335" s="1" t="n">
        <v>46226</v>
      </c>
      <c r="F335" t="inlineStr">
        <is>
          <t>ÖSTERGÖTLANDS LÄN</t>
        </is>
      </c>
      <c r="G335" t="inlineStr">
        <is>
          <t>MOTALA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17008-2022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44676</v>
      </c>
      <c r="E336" s="1" t="n">
        <v>46226</v>
      </c>
      <c r="F336" t="inlineStr">
        <is>
          <t>ÖSTERGÖTLANDS LÄN</t>
        </is>
      </c>
      <c r="G336" t="inlineStr">
        <is>
          <t>MOTALA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22920-2026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46160</v>
      </c>
      <c r="E337" s="1" t="n">
        <v>46226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17.1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8724-2022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44613</v>
      </c>
      <c r="E338" s="1" t="n">
        <v>46226</v>
      </c>
      <c r="F338" t="inlineStr">
        <is>
          <t>ÖSTERGÖTLANDS LÄN</t>
        </is>
      </c>
      <c r="G338" t="inlineStr">
        <is>
          <t>MOTALA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45294</v>
      </c>
      <c r="E339" s="1" t="n">
        <v>46226</v>
      </c>
      <c r="F339" t="inlineStr">
        <is>
          <t>ÖSTERGÖTLANDS LÄN</t>
        </is>
      </c>
      <c r="G339" t="inlineStr">
        <is>
          <t>MOTALA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22831-2026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46160</v>
      </c>
      <c r="E340" s="1" t="n">
        <v>46226</v>
      </c>
      <c r="F340" t="inlineStr">
        <is>
          <t>ÖSTERGÖTLANDS LÄN</t>
        </is>
      </c>
      <c r="G340" t="inlineStr">
        <is>
          <t>MOTALA</t>
        </is>
      </c>
      <c r="H340" t="inlineStr">
        <is>
          <t>Holmen skog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22921-2026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46160</v>
      </c>
      <c r="E341" s="1" t="n">
        <v>46226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29128-2026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46202</v>
      </c>
      <c r="E342" s="1" t="n">
        <v>46226</v>
      </c>
      <c r="F342" t="inlineStr">
        <is>
          <t>ÖSTERGÖTLANDS LÄN</t>
        </is>
      </c>
      <c r="G342" t="inlineStr">
        <is>
          <t>MOTALA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22940-2026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46160</v>
      </c>
      <c r="E343" s="1" t="n">
        <v>46226</v>
      </c>
      <c r="F343" t="inlineStr">
        <is>
          <t>ÖSTERGÖTLANDS LÄN</t>
        </is>
      </c>
      <c r="G343" t="inlineStr">
        <is>
          <t>MOTALA</t>
        </is>
      </c>
      <c r="H343" t="inlineStr">
        <is>
          <t>Holmen skog AB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38878-2023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45161</v>
      </c>
      <c r="E344" s="1" t="n">
        <v>46226</v>
      </c>
      <c r="F344" t="inlineStr">
        <is>
          <t>ÖSTERGÖTLANDS LÄN</t>
        </is>
      </c>
      <c r="G344" t="inlineStr">
        <is>
          <t>MOTALA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29736-2026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46204</v>
      </c>
      <c r="E345" s="1" t="n">
        <v>46226</v>
      </c>
      <c r="F345" t="inlineStr">
        <is>
          <t>ÖSTERGÖTLANDS LÄN</t>
        </is>
      </c>
      <c r="G345" t="inlineStr">
        <is>
          <t>MOTALA</t>
        </is>
      </c>
      <c r="H345" t="inlineStr">
        <is>
          <t>Sveaskog</t>
        </is>
      </c>
      <c r="I345" t="n">
        <v>4.3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23430-2026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46163</v>
      </c>
      <c r="E346" s="1" t="n">
        <v>46226</v>
      </c>
      <c r="F346" t="inlineStr">
        <is>
          <t>ÖSTERGÖTLANDS LÄN</t>
        </is>
      </c>
      <c r="G346" t="inlineStr">
        <is>
          <t>MOTALA</t>
        </is>
      </c>
      <c r="H346" t="inlineStr">
        <is>
          <t>Holmen skog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16452-2023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45029</v>
      </c>
      <c r="E347" s="1" t="n">
        <v>46226</v>
      </c>
      <c r="F347" t="inlineStr">
        <is>
          <t>ÖSTERGÖTLANDS LÄN</t>
        </is>
      </c>
      <c r="G347" t="inlineStr">
        <is>
          <t>MOTALA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53438-2024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45614</v>
      </c>
      <c r="E348" s="1" t="n">
        <v>46226</v>
      </c>
      <c r="F348" t="inlineStr">
        <is>
          <t>ÖSTERGÖTLANDS LÄN</t>
        </is>
      </c>
      <c r="G348" t="inlineStr">
        <is>
          <t>MOTALA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47905-2024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45589</v>
      </c>
      <c r="E349" s="1" t="n">
        <v>46226</v>
      </c>
      <c r="F349" t="inlineStr">
        <is>
          <t>ÖSTERGÖTLANDS LÄN</t>
        </is>
      </c>
      <c r="G349" t="inlineStr">
        <is>
          <t>MOTALA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62078-2023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45266</v>
      </c>
      <c r="E350" s="1" t="n">
        <v>46226</v>
      </c>
      <c r="F350" t="inlineStr">
        <is>
          <t>ÖSTERGÖTLANDS LÄN</t>
        </is>
      </c>
      <c r="G350" t="inlineStr">
        <is>
          <t>MOTALA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30115-2026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46226</v>
      </c>
      <c r="F351" t="inlineStr">
        <is>
          <t>ÖSTERGÖTLANDS LÄN</t>
        </is>
      </c>
      <c r="G351" t="inlineStr">
        <is>
          <t>MOTALA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23839-2026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46226</v>
      </c>
      <c r="F352" t="inlineStr">
        <is>
          <t>ÖSTERGÖTLANDS LÄN</t>
        </is>
      </c>
      <c r="G352" t="inlineStr">
        <is>
          <t>MOTALA</t>
        </is>
      </c>
      <c r="H352" t="inlineStr">
        <is>
          <t>Holmen skog AB</t>
        </is>
      </c>
      <c r="I352" t="n">
        <v>3.3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50733-2024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45602</v>
      </c>
      <c r="E353" s="1" t="n">
        <v>46226</v>
      </c>
      <c r="F353" t="inlineStr">
        <is>
          <t>ÖSTERGÖTLANDS LÄN</t>
        </is>
      </c>
      <c r="G353" t="inlineStr">
        <is>
          <t>MOTALA</t>
        </is>
      </c>
      <c r="I353" t="n">
        <v>4.3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53454-2024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46226</v>
      </c>
      <c r="F354" t="inlineStr">
        <is>
          <t>ÖSTERGÖTLANDS LÄN</t>
        </is>
      </c>
      <c r="G354" t="inlineStr">
        <is>
          <t>MOTALA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62075-2023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45266</v>
      </c>
      <c r="E355" s="1" t="n">
        <v>46226</v>
      </c>
      <c r="F355" t="inlineStr">
        <is>
          <t>ÖSTERGÖTLANDS LÄN</t>
        </is>
      </c>
      <c r="G355" t="inlineStr">
        <is>
          <t>MOTALA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62077-2023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45266</v>
      </c>
      <c r="E356" s="1" t="n">
        <v>46226</v>
      </c>
      <c r="F356" t="inlineStr">
        <is>
          <t>ÖSTERGÖTLANDS LÄN</t>
        </is>
      </c>
      <c r="G356" t="inlineStr">
        <is>
          <t>MOTALA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62079-2023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46226</v>
      </c>
      <c r="F357" t="inlineStr">
        <is>
          <t>ÖSTERGÖTLANDS LÄN</t>
        </is>
      </c>
      <c r="G357" t="inlineStr">
        <is>
          <t>MOTALA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52302-2023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45224</v>
      </c>
      <c r="E358" s="1" t="n">
        <v>46226</v>
      </c>
      <c r="F358" t="inlineStr">
        <is>
          <t>ÖSTERGÖTLANDS LÄN</t>
        </is>
      </c>
      <c r="G358" t="inlineStr">
        <is>
          <t>MOTALA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9622-2023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44984</v>
      </c>
      <c r="E359" s="1" t="n">
        <v>46226</v>
      </c>
      <c r="F359" t="inlineStr">
        <is>
          <t>ÖSTERGÖTLANDS LÄN</t>
        </is>
      </c>
      <c r="G359" t="inlineStr">
        <is>
          <t>MOTALA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19234-2024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45428</v>
      </c>
      <c r="E360" s="1" t="n">
        <v>46226</v>
      </c>
      <c r="F360" t="inlineStr">
        <is>
          <t>ÖSTERGÖTLANDS LÄN</t>
        </is>
      </c>
      <c r="G360" t="inlineStr">
        <is>
          <t>MOTALA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42137-2024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45562</v>
      </c>
      <c r="E361" s="1" t="n">
        <v>46226</v>
      </c>
      <c r="F361" t="inlineStr">
        <is>
          <t>ÖSTERGÖTLANDS LÄN</t>
        </is>
      </c>
      <c r="G361" t="inlineStr">
        <is>
          <t>MOTALA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2196-2023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44942</v>
      </c>
      <c r="E362" s="1" t="n">
        <v>46226</v>
      </c>
      <c r="F362" t="inlineStr">
        <is>
          <t>ÖSTERGÖTLANDS LÄN</t>
        </is>
      </c>
      <c r="G362" t="inlineStr">
        <is>
          <t>MOTALA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47510-2022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44853</v>
      </c>
      <c r="E363" s="1" t="n">
        <v>46226</v>
      </c>
      <c r="F363" t="inlineStr">
        <is>
          <t>ÖSTERGÖTLANDS LÄN</t>
        </is>
      </c>
      <c r="G363" t="inlineStr">
        <is>
          <t>MOTALA</t>
        </is>
      </c>
      <c r="H363" t="inlineStr">
        <is>
          <t>Övriga statliga verk och myndigheter</t>
        </is>
      </c>
      <c r="I363" t="n">
        <v>11.3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64161-2023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46226</v>
      </c>
      <c r="F364" t="inlineStr">
        <is>
          <t>ÖSTERGÖTLANDS LÄN</t>
        </is>
      </c>
      <c r="G364" t="inlineStr">
        <is>
          <t>MOTALA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64175-2023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45279</v>
      </c>
      <c r="E365" s="1" t="n">
        <v>46226</v>
      </c>
      <c r="F365" t="inlineStr">
        <is>
          <t>ÖSTERGÖTLANDS LÄN</t>
        </is>
      </c>
      <c r="G365" t="inlineStr">
        <is>
          <t>MOTALA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44942</v>
      </c>
      <c r="E366" s="1" t="n">
        <v>46226</v>
      </c>
      <c r="F366" t="inlineStr">
        <is>
          <t>ÖSTERGÖTLANDS LÄN</t>
        </is>
      </c>
      <c r="G366" t="inlineStr">
        <is>
          <t>MOTALA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1102-2023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44935</v>
      </c>
      <c r="E367" s="1" t="n">
        <v>46226</v>
      </c>
      <c r="F367" t="inlineStr">
        <is>
          <t>ÖSTERGÖTLANDS LÄN</t>
        </is>
      </c>
      <c r="G367" t="inlineStr">
        <is>
          <t>MOTALA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40528-2022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44819</v>
      </c>
      <c r="E368" s="1" t="n">
        <v>46226</v>
      </c>
      <c r="F368" t="inlineStr">
        <is>
          <t>ÖSTERGÖTLANDS LÄN</t>
        </is>
      </c>
      <c r="G368" t="inlineStr">
        <is>
          <t>MOTALA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24829-2026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46174</v>
      </c>
      <c r="E369" s="1" t="n">
        <v>46226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24831-2026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46174</v>
      </c>
      <c r="E370" s="1" t="n">
        <v>46226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24830-2026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46174</v>
      </c>
      <c r="E371" s="1" t="n">
        <v>46226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24832-2026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46174</v>
      </c>
      <c r="E372" s="1" t="n">
        <v>46226</v>
      </c>
      <c r="F372" t="inlineStr">
        <is>
          <t>ÖSTERGÖTLANDS LÄN</t>
        </is>
      </c>
      <c r="G372" t="inlineStr">
        <is>
          <t>MOTALA</t>
        </is>
      </c>
      <c r="H372" t="inlineStr">
        <is>
          <t>Sveaskog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31297-2026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46218</v>
      </c>
      <c r="E373" s="1" t="n">
        <v>46226</v>
      </c>
      <c r="F373" t="inlineStr">
        <is>
          <t>ÖSTERGÖTLANDS LÄN</t>
        </is>
      </c>
      <c r="G373" t="inlineStr">
        <is>
          <t>MOTALA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31295-2026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46218</v>
      </c>
      <c r="E374" s="1" t="n">
        <v>46226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31296-2026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46218</v>
      </c>
      <c r="E375" s="1" t="n">
        <v>46226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21048-2024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45439</v>
      </c>
      <c r="E376" s="1" t="n">
        <v>46226</v>
      </c>
      <c r="F376" t="inlineStr">
        <is>
          <t>ÖSTERGÖTLANDS LÄN</t>
        </is>
      </c>
      <c r="G376" t="inlineStr">
        <is>
          <t>MOTALA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44298-2023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46226</v>
      </c>
      <c r="F377" t="inlineStr">
        <is>
          <t>ÖSTERGÖTLANDS LÄN</t>
        </is>
      </c>
      <c r="G377" t="inlineStr">
        <is>
          <t>MOTALA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42130-2024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45562</v>
      </c>
      <c r="E378" s="1" t="n">
        <v>46226</v>
      </c>
      <c r="F378" t="inlineStr">
        <is>
          <t>ÖSTERGÖTLANDS LÄN</t>
        </is>
      </c>
      <c r="G378" t="inlineStr">
        <is>
          <t>MOTALA</t>
        </is>
      </c>
      <c r="I378" t="n">
        <v>8.1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62556-2021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44503</v>
      </c>
      <c r="E379" s="1" t="n">
        <v>46226</v>
      </c>
      <c r="F379" t="inlineStr">
        <is>
          <t>ÖSTERGÖTLANDS LÄN</t>
        </is>
      </c>
      <c r="G379" t="inlineStr">
        <is>
          <t>MOTALA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17148-2023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45034</v>
      </c>
      <c r="E380" s="1" t="n">
        <v>46226</v>
      </c>
      <c r="F380" t="inlineStr">
        <is>
          <t>ÖSTERGÖTLANDS LÄN</t>
        </is>
      </c>
      <c r="G380" t="inlineStr">
        <is>
          <t>MOTALA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41944-2022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44830</v>
      </c>
      <c r="E381" s="1" t="n">
        <v>46226</v>
      </c>
      <c r="F381" t="inlineStr">
        <is>
          <t>ÖSTERGÖTLANDS LÄN</t>
        </is>
      </c>
      <c r="G381" t="inlineStr">
        <is>
          <t>MOTALA</t>
        </is>
      </c>
      <c r="H381" t="inlineStr">
        <is>
          <t>Sveaskog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21527-2023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45061</v>
      </c>
      <c r="E382" s="1" t="n">
        <v>46226</v>
      </c>
      <c r="F382" t="inlineStr">
        <is>
          <t>ÖSTERGÖTLANDS LÄN</t>
        </is>
      </c>
      <c r="G382" t="inlineStr">
        <is>
          <t>MOTALA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43368-2023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45183</v>
      </c>
      <c r="E383" s="1" t="n">
        <v>46226</v>
      </c>
      <c r="F383" t="inlineStr">
        <is>
          <t>ÖSTERGÖTLANDS LÄN</t>
        </is>
      </c>
      <c r="G383" t="inlineStr">
        <is>
          <t>MOTALA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34761-2024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45526</v>
      </c>
      <c r="E384" s="1" t="n">
        <v>46226</v>
      </c>
      <c r="F384" t="inlineStr">
        <is>
          <t>ÖSTERGÖTLANDS LÄN</t>
        </is>
      </c>
      <c r="G384" t="inlineStr">
        <is>
          <t>MOTALA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8108-2024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45351</v>
      </c>
      <c r="E385" s="1" t="n">
        <v>46226</v>
      </c>
      <c r="F385" t="inlineStr">
        <is>
          <t>ÖSTERGÖTLANDS LÄN</t>
        </is>
      </c>
      <c r="G385" t="inlineStr">
        <is>
          <t>MOTALA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27410-2024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45473</v>
      </c>
      <c r="E386" s="1" t="n">
        <v>46226</v>
      </c>
      <c r="F386" t="inlineStr">
        <is>
          <t>ÖSTERGÖTLANDS LÄN</t>
        </is>
      </c>
      <c r="G386" t="inlineStr">
        <is>
          <t>MOTALA</t>
        </is>
      </c>
      <c r="I386" t="n">
        <v>6.9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45302</v>
      </c>
      <c r="E387" s="1" t="n">
        <v>46226</v>
      </c>
      <c r="F387" t="inlineStr">
        <is>
          <t>ÖSTERGÖTLANDS LÄN</t>
        </is>
      </c>
      <c r="G387" t="inlineStr">
        <is>
          <t>MOTALA</t>
        </is>
      </c>
      <c r="H387" t="inlineStr">
        <is>
          <t>Övriga statliga verk och myndigheter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18915-2023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45043</v>
      </c>
      <c r="E388" s="1" t="n">
        <v>46226</v>
      </c>
      <c r="F388" t="inlineStr">
        <is>
          <t>ÖSTERGÖTLANDS LÄN</t>
        </is>
      </c>
      <c r="G388" t="inlineStr">
        <is>
          <t>MOTALA</t>
        </is>
      </c>
      <c r="H388" t="inlineStr">
        <is>
          <t>Övriga statliga verk och myndigheter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18924-2024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45427</v>
      </c>
      <c r="E389" s="1" t="n">
        <v>46226</v>
      </c>
      <c r="F389" t="inlineStr">
        <is>
          <t>ÖSTERGÖTLANDS LÄN</t>
        </is>
      </c>
      <c r="G389" t="inlineStr">
        <is>
          <t>MOTALA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21204-2024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45440</v>
      </c>
      <c r="E390" s="1" t="n">
        <v>46226</v>
      </c>
      <c r="F390" t="inlineStr">
        <is>
          <t>ÖSTERGÖTLANDS LÄN</t>
        </is>
      </c>
      <c r="G390" t="inlineStr">
        <is>
          <t>MOTALA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12274-2022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44637</v>
      </c>
      <c r="E391" s="1" t="n">
        <v>46226</v>
      </c>
      <c r="F391" t="inlineStr">
        <is>
          <t>ÖSTERGÖTLANDS LÄN</t>
        </is>
      </c>
      <c r="G391" t="inlineStr">
        <is>
          <t>MOTALA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12091-2023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46226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5.7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4271-2025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45685</v>
      </c>
      <c r="E393" s="1" t="n">
        <v>46226</v>
      </c>
      <c r="F393" t="inlineStr">
        <is>
          <t>ÖSTERGÖTLANDS LÄN</t>
        </is>
      </c>
      <c r="G393" t="inlineStr">
        <is>
          <t>MOTALA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7925-2022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44608</v>
      </c>
      <c r="E394" s="1" t="n">
        <v>46226</v>
      </c>
      <c r="F394" t="inlineStr">
        <is>
          <t>ÖSTERGÖTLANDS LÄN</t>
        </is>
      </c>
      <c r="G394" t="inlineStr">
        <is>
          <t>MOTALA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7927-2022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44608</v>
      </c>
      <c r="E395" s="1" t="n">
        <v>46226</v>
      </c>
      <c r="F395" t="inlineStr">
        <is>
          <t>ÖSTERGÖTLANDS LÄN</t>
        </is>
      </c>
      <c r="G395" t="inlineStr">
        <is>
          <t>MOTALA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47875-2021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44448</v>
      </c>
      <c r="E396" s="1" t="n">
        <v>46226</v>
      </c>
      <c r="F396" t="inlineStr">
        <is>
          <t>ÖSTERGÖTLANDS LÄN</t>
        </is>
      </c>
      <c r="G396" t="inlineStr">
        <is>
          <t>MOTALA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12258-2024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45378</v>
      </c>
      <c r="E397" s="1" t="n">
        <v>46226</v>
      </c>
      <c r="F397" t="inlineStr">
        <is>
          <t>ÖSTERGÖTLANDS LÄN</t>
        </is>
      </c>
      <c r="G397" t="inlineStr">
        <is>
          <t>MOTALA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24254-2022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44725</v>
      </c>
      <c r="E398" s="1" t="n">
        <v>46226</v>
      </c>
      <c r="F398" t="inlineStr">
        <is>
          <t>ÖSTERGÖTLANDS LÄN</t>
        </is>
      </c>
      <c r="G398" t="inlineStr">
        <is>
          <t>MOTALA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10324-2023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44987</v>
      </c>
      <c r="E399" s="1" t="n">
        <v>46226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12156-2024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45377</v>
      </c>
      <c r="E400" s="1" t="n">
        <v>46226</v>
      </c>
      <c r="F400" t="inlineStr">
        <is>
          <t>ÖSTERGÖTLANDS LÄN</t>
        </is>
      </c>
      <c r="G400" t="inlineStr">
        <is>
          <t>MOTALA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51762-2024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45607</v>
      </c>
      <c r="E401" s="1" t="n">
        <v>46226</v>
      </c>
      <c r="F401" t="inlineStr">
        <is>
          <t>ÖSTERGÖTLANDS LÄN</t>
        </is>
      </c>
      <c r="G401" t="inlineStr">
        <is>
          <t>MOTALA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12155-2024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45377</v>
      </c>
      <c r="E402" s="1" t="n">
        <v>46226</v>
      </c>
      <c r="F402" t="inlineStr">
        <is>
          <t>ÖSTERGÖTLANDS LÄN</t>
        </is>
      </c>
      <c r="G402" t="inlineStr">
        <is>
          <t>MOTALA</t>
        </is>
      </c>
      <c r="I402" t="n">
        <v>7.5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27418-2022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44742</v>
      </c>
      <c r="E403" s="1" t="n">
        <v>46226</v>
      </c>
      <c r="F403" t="inlineStr">
        <is>
          <t>ÖSTERGÖTLANDS LÄN</t>
        </is>
      </c>
      <c r="G403" t="inlineStr">
        <is>
          <t>MOTALA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57705-2023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45243</v>
      </c>
      <c r="E404" s="1" t="n">
        <v>46226</v>
      </c>
      <c r="F404" t="inlineStr">
        <is>
          <t>ÖSTERGÖTLANDS LÄN</t>
        </is>
      </c>
      <c r="G404" t="inlineStr">
        <is>
          <t>MOTALA</t>
        </is>
      </c>
      <c r="H404" t="inlineStr">
        <is>
          <t>Övriga statliga verk och myndigheter</t>
        </is>
      </c>
      <c r="I404" t="n">
        <v>25.1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57697-2023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46226</v>
      </c>
      <c r="F405" t="inlineStr">
        <is>
          <t>ÖSTERGÖTLANDS LÄN</t>
        </is>
      </c>
      <c r="G405" t="inlineStr">
        <is>
          <t>MOTALA</t>
        </is>
      </c>
      <c r="H405" t="inlineStr">
        <is>
          <t>Övriga statliga verk och myndigheter</t>
        </is>
      </c>
      <c r="I405" t="n">
        <v>24.8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63150-2023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45273</v>
      </c>
      <c r="E406" s="1" t="n">
        <v>46226</v>
      </c>
      <c r="F406" t="inlineStr">
        <is>
          <t>ÖSTERGÖTLANDS LÄN</t>
        </is>
      </c>
      <c r="G406" t="inlineStr">
        <is>
          <t>MOTALA</t>
        </is>
      </c>
      <c r="H406" t="inlineStr">
        <is>
          <t>Kyrkan</t>
        </is>
      </c>
      <c r="I406" t="n">
        <v>8.4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36725-2022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44804</v>
      </c>
      <c r="E407" s="1" t="n">
        <v>46226</v>
      </c>
      <c r="F407" t="inlineStr">
        <is>
          <t>ÖSTERGÖTLANDS LÄN</t>
        </is>
      </c>
      <c r="G407" t="inlineStr">
        <is>
          <t>MOTALA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43905-2021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44434</v>
      </c>
      <c r="E408" s="1" t="n">
        <v>46226</v>
      </c>
      <c r="F408" t="inlineStr">
        <is>
          <t>ÖSTERGÖTLANDS LÄN</t>
        </is>
      </c>
      <c r="G408" t="inlineStr">
        <is>
          <t>MOTALA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42311-2021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44427</v>
      </c>
      <c r="E409" s="1" t="n">
        <v>46226</v>
      </c>
      <c r="F409" t="inlineStr">
        <is>
          <t>ÖSTERGÖTLANDS LÄN</t>
        </is>
      </c>
      <c r="G409" t="inlineStr">
        <is>
          <t>MOTALA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55295-2023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45237</v>
      </c>
      <c r="E410" s="1" t="n">
        <v>46226</v>
      </c>
      <c r="F410" t="inlineStr">
        <is>
          <t>ÖSTERGÖTLANDS LÄN</t>
        </is>
      </c>
      <c r="G410" t="inlineStr">
        <is>
          <t>MOTALA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65561-2021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44516</v>
      </c>
      <c r="E411" s="1" t="n">
        <v>46226</v>
      </c>
      <c r="F411" t="inlineStr">
        <is>
          <t>ÖSTERGÖTLANDS LÄN</t>
        </is>
      </c>
      <c r="G411" t="inlineStr">
        <is>
          <t>MOTALA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32470-2022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44782</v>
      </c>
      <c r="E412" s="1" t="n">
        <v>46226</v>
      </c>
      <c r="F412" t="inlineStr">
        <is>
          <t>ÖSTERGÖTLANDS LÄN</t>
        </is>
      </c>
      <c r="G412" t="inlineStr">
        <is>
          <t>MOTALA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1645-2022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44573</v>
      </c>
      <c r="E413" s="1" t="n">
        <v>46226</v>
      </c>
      <c r="F413" t="inlineStr">
        <is>
          <t>ÖSTERGÖTLANDS LÄN</t>
        </is>
      </c>
      <c r="G413" t="inlineStr">
        <is>
          <t>MOTALA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12434-2023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44999</v>
      </c>
      <c r="E414" s="1" t="n">
        <v>46226</v>
      </c>
      <c r="F414" t="inlineStr">
        <is>
          <t>ÖSTERGÖTLANDS LÄN</t>
        </is>
      </c>
      <c r="G414" t="inlineStr">
        <is>
          <t>MOTALA</t>
        </is>
      </c>
      <c r="H414" t="inlineStr">
        <is>
          <t>Allmännings- och besparingsskogar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42298-2023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45180</v>
      </c>
      <c r="E415" s="1" t="n">
        <v>46226</v>
      </c>
      <c r="F415" t="inlineStr">
        <is>
          <t>ÖSTERGÖTLANDS LÄN</t>
        </is>
      </c>
      <c r="G415" t="inlineStr">
        <is>
          <t>MOTALA</t>
        </is>
      </c>
      <c r="I415" t="n">
        <v>6.3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46681-2021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44445</v>
      </c>
      <c r="E416" s="1" t="n">
        <v>46226</v>
      </c>
      <c r="F416" t="inlineStr">
        <is>
          <t>ÖSTERGÖTLANDS LÄN</t>
        </is>
      </c>
      <c r="G416" t="inlineStr">
        <is>
          <t>MOTALA</t>
        </is>
      </c>
      <c r="H416" t="inlineStr">
        <is>
          <t>Övriga statliga verk och myndigheter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44894</v>
      </c>
      <c r="E417" s="1" t="n">
        <v>46226</v>
      </c>
      <c r="F417" t="inlineStr">
        <is>
          <t>ÖSTERGÖTLANDS LÄN</t>
        </is>
      </c>
      <c r="G417" t="inlineStr">
        <is>
          <t>MOTALA</t>
        </is>
      </c>
      <c r="H417" t="inlineStr">
        <is>
          <t>Sveaskog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27965-2024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45476</v>
      </c>
      <c r="E418" s="1" t="n">
        <v>46226</v>
      </c>
      <c r="F418" t="inlineStr">
        <is>
          <t>ÖSTERGÖTLANDS LÄN</t>
        </is>
      </c>
      <c r="G418" t="inlineStr">
        <is>
          <t>MOTALA</t>
        </is>
      </c>
      <c r="H418" t="inlineStr">
        <is>
          <t>Holmen skog AB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58344-2022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44893</v>
      </c>
      <c r="E419" s="1" t="n">
        <v>46226</v>
      </c>
      <c r="F419" t="inlineStr">
        <is>
          <t>ÖSTERGÖTLANDS LÄN</t>
        </is>
      </c>
      <c r="G419" t="inlineStr">
        <is>
          <t>MOTALA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16586-2023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45030</v>
      </c>
      <c r="E420" s="1" t="n">
        <v>46226</v>
      </c>
      <c r="F420" t="inlineStr">
        <is>
          <t>ÖSTERGÖTLANDS LÄN</t>
        </is>
      </c>
      <c r="G420" t="inlineStr">
        <is>
          <t>MOTALA</t>
        </is>
      </c>
      <c r="H420" t="inlineStr">
        <is>
          <t>Kyrkan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12643-2022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44641</v>
      </c>
      <c r="E421" s="1" t="n">
        <v>46226</v>
      </c>
      <c r="F421" t="inlineStr">
        <is>
          <t>ÖSTERGÖTLANDS LÄN</t>
        </is>
      </c>
      <c r="G421" t="inlineStr">
        <is>
          <t>MOTALA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60029-2021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44494</v>
      </c>
      <c r="E422" s="1" t="n">
        <v>46226</v>
      </c>
      <c r="F422" t="inlineStr">
        <is>
          <t>ÖSTERGÖTLANDS LÄN</t>
        </is>
      </c>
      <c r="G422" t="inlineStr">
        <is>
          <t>MOTALA</t>
        </is>
      </c>
      <c r="I422" t="n">
        <v>4.7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44930</v>
      </c>
      <c r="E423" s="1" t="n">
        <v>46226</v>
      </c>
      <c r="F423" t="inlineStr">
        <is>
          <t>ÖSTERGÖTLANDS LÄN</t>
        </is>
      </c>
      <c r="G423" t="inlineStr">
        <is>
          <t>MOTALA</t>
        </is>
      </c>
      <c r="I423" t="n">
        <v>2.4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62065-2023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45266</v>
      </c>
      <c r="E424" s="1" t="n">
        <v>46226</v>
      </c>
      <c r="F424" t="inlineStr">
        <is>
          <t>ÖSTERGÖTLANDS LÄN</t>
        </is>
      </c>
      <c r="G424" t="inlineStr">
        <is>
          <t>MOTALA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17543-2022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44679</v>
      </c>
      <c r="E425" s="1" t="n">
        <v>46226</v>
      </c>
      <c r="F425" t="inlineStr">
        <is>
          <t>ÖSTERGÖTLANDS LÄN</t>
        </is>
      </c>
      <c r="G425" t="inlineStr">
        <is>
          <t>MOTALA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31744-2022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44776</v>
      </c>
      <c r="E426" s="1" t="n">
        <v>46226</v>
      </c>
      <c r="F426" t="inlineStr">
        <is>
          <t>ÖSTERGÖTLANDS LÄN</t>
        </is>
      </c>
      <c r="G426" t="inlineStr">
        <is>
          <t>MOTALA</t>
        </is>
      </c>
      <c r="I426" t="n">
        <v>6.3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53322-2023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45229</v>
      </c>
      <c r="E427" s="1" t="n">
        <v>46226</v>
      </c>
      <c r="F427" t="inlineStr">
        <is>
          <t>ÖSTERGÖTLANDS LÄN</t>
        </is>
      </c>
      <c r="G427" t="inlineStr">
        <is>
          <t>MOTALA</t>
        </is>
      </c>
      <c r="I427" t="n">
        <v>4.5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47999-2023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45204</v>
      </c>
      <c r="E428" s="1" t="n">
        <v>46226</v>
      </c>
      <c r="F428" t="inlineStr">
        <is>
          <t>ÖSTERGÖTLANDS LÄN</t>
        </is>
      </c>
      <c r="G428" t="inlineStr">
        <is>
          <t>MOTALA</t>
        </is>
      </c>
      <c r="H428" t="inlineStr">
        <is>
          <t>Allmännings- och besparingsskogar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51638-2023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45222</v>
      </c>
      <c r="E429" s="1" t="n">
        <v>46226</v>
      </c>
      <c r="F429" t="inlineStr">
        <is>
          <t>ÖSTERGÖTLANDS LÄN</t>
        </is>
      </c>
      <c r="G429" t="inlineStr">
        <is>
          <t>MOTALA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24252-2022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44725</v>
      </c>
      <c r="E430" s="1" t="n">
        <v>46226</v>
      </c>
      <c r="F430" t="inlineStr">
        <is>
          <t>ÖSTERGÖTLANDS LÄN</t>
        </is>
      </c>
      <c r="G430" t="inlineStr">
        <is>
          <t>MOTALA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40518-2022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44819</v>
      </c>
      <c r="E431" s="1" t="n">
        <v>46226</v>
      </c>
      <c r="F431" t="inlineStr">
        <is>
          <t>ÖSTERGÖTLANDS LÄN</t>
        </is>
      </c>
      <c r="G431" t="inlineStr">
        <is>
          <t>MOTALA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41937-2022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44830</v>
      </c>
      <c r="E432" s="1" t="n">
        <v>46226</v>
      </c>
      <c r="F432" t="inlineStr">
        <is>
          <t>ÖSTERGÖTLANDS LÄN</t>
        </is>
      </c>
      <c r="G432" t="inlineStr">
        <is>
          <t>MOTALA</t>
        </is>
      </c>
      <c r="H432" t="inlineStr">
        <is>
          <t>Sveaskog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41898-2022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44830</v>
      </c>
      <c r="E433" s="1" t="n">
        <v>46226</v>
      </c>
      <c r="F433" t="inlineStr">
        <is>
          <t>ÖSTERGÖTLANDS LÄN</t>
        </is>
      </c>
      <c r="G433" t="inlineStr">
        <is>
          <t>MOTALA</t>
        </is>
      </c>
      <c r="H433" t="inlineStr">
        <is>
          <t>Sveaskog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4873-2024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45329</v>
      </c>
      <c r="E434" s="1" t="n">
        <v>46226</v>
      </c>
      <c r="F434" t="inlineStr">
        <is>
          <t>ÖSTERGÖTLANDS LÄN</t>
        </is>
      </c>
      <c r="G434" t="inlineStr">
        <is>
          <t>MOTALA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44931</v>
      </c>
      <c r="E435" s="1" t="n">
        <v>46226</v>
      </c>
      <c r="F435" t="inlineStr">
        <is>
          <t>ÖSTERGÖTLANDS LÄN</t>
        </is>
      </c>
      <c r="G435" t="inlineStr">
        <is>
          <t>MOTALA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7034-2024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45343</v>
      </c>
      <c r="E436" s="1" t="n">
        <v>46226</v>
      </c>
      <c r="F436" t="inlineStr">
        <is>
          <t>ÖSTERGÖTLANDS LÄN</t>
        </is>
      </c>
      <c r="G436" t="inlineStr">
        <is>
          <t>MOTALA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26338-2023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45091</v>
      </c>
      <c r="E437" s="1" t="n">
        <v>46226</v>
      </c>
      <c r="F437" t="inlineStr">
        <is>
          <t>ÖSTERGÖTLANDS LÄN</t>
        </is>
      </c>
      <c r="G437" t="inlineStr">
        <is>
          <t>MOTALA</t>
        </is>
      </c>
      <c r="I437" t="n">
        <v>6.2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59570-2022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44907</v>
      </c>
      <c r="E438" s="1" t="n">
        <v>46226</v>
      </c>
      <c r="F438" t="inlineStr">
        <is>
          <t>ÖSTERGÖTLANDS LÄN</t>
        </is>
      </c>
      <c r="G438" t="inlineStr">
        <is>
          <t>MOTALA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53781-2024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45615</v>
      </c>
      <c r="E439" s="1" t="n">
        <v>46226</v>
      </c>
      <c r="F439" t="inlineStr">
        <is>
          <t>ÖSTERGÖTLANDS LÄN</t>
        </is>
      </c>
      <c r="G439" t="inlineStr">
        <is>
          <t>MOTALA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45781</v>
      </c>
      <c r="E440" s="1" t="n">
        <v>46226</v>
      </c>
      <c r="F440" t="inlineStr">
        <is>
          <t>ÖSTERGÖTLANDS LÄN</t>
        </is>
      </c>
      <c r="G440" t="inlineStr">
        <is>
          <t>MOTALA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8352-2025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45708</v>
      </c>
      <c r="E441" s="1" t="n">
        <v>46226</v>
      </c>
      <c r="F441" t="inlineStr">
        <is>
          <t>ÖSTERGÖTLANDS LÄN</t>
        </is>
      </c>
      <c r="G441" t="inlineStr">
        <is>
          <t>MOTALA</t>
        </is>
      </c>
      <c r="I441" t="n">
        <v>5.1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58678-2024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45632</v>
      </c>
      <c r="E442" s="1" t="n">
        <v>46226</v>
      </c>
      <c r="F442" t="inlineStr">
        <is>
          <t>ÖSTERGÖTLANDS LÄN</t>
        </is>
      </c>
      <c r="G442" t="inlineStr">
        <is>
          <t>MOTALA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58997-2022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44903</v>
      </c>
      <c r="E443" s="1" t="n">
        <v>46226</v>
      </c>
      <c r="F443" t="inlineStr">
        <is>
          <t>ÖSTERGÖTLANDS LÄN</t>
        </is>
      </c>
      <c r="G443" t="inlineStr">
        <is>
          <t>MOTALA</t>
        </is>
      </c>
      <c r="H443" t="inlineStr">
        <is>
          <t>Allmännings- och besparingsskogar</t>
        </is>
      </c>
      <c r="I443" t="n">
        <v>37.7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26606-2024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45469</v>
      </c>
      <c r="E444" s="1" t="n">
        <v>46226</v>
      </c>
      <c r="F444" t="inlineStr">
        <is>
          <t>ÖSTERGÖTLANDS LÄN</t>
        </is>
      </c>
      <c r="G444" t="inlineStr">
        <is>
          <t>MOTALA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48058-2024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45589</v>
      </c>
      <c r="E445" s="1" t="n">
        <v>46226</v>
      </c>
      <c r="F445" t="inlineStr">
        <is>
          <t>ÖSTERGÖTLANDS LÄN</t>
        </is>
      </c>
      <c r="G445" t="inlineStr">
        <is>
          <t>MOTALA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51728-2024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45604</v>
      </c>
      <c r="E446" s="1" t="n">
        <v>46226</v>
      </c>
      <c r="F446" t="inlineStr">
        <is>
          <t>ÖSTERGÖTLANDS LÄN</t>
        </is>
      </c>
      <c r="G446" t="inlineStr">
        <is>
          <t>MOTALA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51648-2023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45222</v>
      </c>
      <c r="E447" s="1" t="n">
        <v>46226</v>
      </c>
      <c r="F447" t="inlineStr">
        <is>
          <t>ÖSTERGÖTLANDS LÄN</t>
        </is>
      </c>
      <c r="G447" t="inlineStr">
        <is>
          <t>MOTALA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23757-2025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45793</v>
      </c>
      <c r="E448" s="1" t="n">
        <v>46226</v>
      </c>
      <c r="F448" t="inlineStr">
        <is>
          <t>ÖSTERGÖTLANDS LÄN</t>
        </is>
      </c>
      <c r="G448" t="inlineStr">
        <is>
          <t>MOTALA</t>
        </is>
      </c>
      <c r="H448" t="inlineStr">
        <is>
          <t>Allmännings- och besparingsskogar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1074-2025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45666</v>
      </c>
      <c r="E449" s="1" t="n">
        <v>46226</v>
      </c>
      <c r="F449" t="inlineStr">
        <is>
          <t>ÖSTERGÖTLANDS LÄN</t>
        </is>
      </c>
      <c r="G449" t="inlineStr">
        <is>
          <t>MOTALA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38881-2024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45547</v>
      </c>
      <c r="E450" s="1" t="n">
        <v>46226</v>
      </c>
      <c r="F450" t="inlineStr">
        <is>
          <t>ÖSTERGÖTLANDS LÄN</t>
        </is>
      </c>
      <c r="G450" t="inlineStr">
        <is>
          <t>MOTALA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57506-2024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45629</v>
      </c>
      <c r="E451" s="1" t="n">
        <v>46226</v>
      </c>
      <c r="F451" t="inlineStr">
        <is>
          <t>ÖSTERGÖTLANDS LÄN</t>
        </is>
      </c>
      <c r="G451" t="inlineStr">
        <is>
          <t>MOTALA</t>
        </is>
      </c>
      <c r="I451" t="n">
        <v>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60669-2024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45644</v>
      </c>
      <c r="E452" s="1" t="n">
        <v>46226</v>
      </c>
      <c r="F452" t="inlineStr">
        <is>
          <t>ÖSTERGÖTLANDS LÄN</t>
        </is>
      </c>
      <c r="G452" t="inlineStr">
        <is>
          <t>MOTALA</t>
        </is>
      </c>
      <c r="I452" t="n">
        <v>5.5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57681-2024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45630</v>
      </c>
      <c r="E453" s="1" t="n">
        <v>46226</v>
      </c>
      <c r="F453" t="inlineStr">
        <is>
          <t>ÖSTERGÖTLANDS LÄN</t>
        </is>
      </c>
      <c r="G453" t="inlineStr">
        <is>
          <t>MOTALA</t>
        </is>
      </c>
      <c r="I453" t="n">
        <v>3.9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4979-2025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45689</v>
      </c>
      <c r="E454" s="1" t="n">
        <v>46226</v>
      </c>
      <c r="F454" t="inlineStr">
        <is>
          <t>ÖSTERGÖTLANDS LÄN</t>
        </is>
      </c>
      <c r="G454" t="inlineStr">
        <is>
          <t>MOTALA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24468-2025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45798</v>
      </c>
      <c r="E455" s="1" t="n">
        <v>46226</v>
      </c>
      <c r="F455" t="inlineStr">
        <is>
          <t>ÖSTERGÖTLANDS LÄN</t>
        </is>
      </c>
      <c r="G455" t="inlineStr">
        <is>
          <t>MOTALA</t>
        </is>
      </c>
      <c r="H455" t="inlineStr">
        <is>
          <t>Sveaskog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25600-2025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45803</v>
      </c>
      <c r="E456" s="1" t="n">
        <v>46226</v>
      </c>
      <c r="F456" t="inlineStr">
        <is>
          <t>ÖSTERGÖTLANDS LÄN</t>
        </is>
      </c>
      <c r="G456" t="inlineStr">
        <is>
          <t>MOTALA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3262-2024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45526</v>
      </c>
      <c r="E457" s="1" t="n">
        <v>46226</v>
      </c>
      <c r="F457" t="inlineStr">
        <is>
          <t>ÖSTERGÖTLANDS LÄN</t>
        </is>
      </c>
      <c r="G457" t="inlineStr">
        <is>
          <t>MOTALA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3481-2023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45205</v>
      </c>
      <c r="E458" s="1" t="n">
        <v>46226</v>
      </c>
      <c r="F458" t="inlineStr">
        <is>
          <t>ÖSTERGÖTLANDS LÄN</t>
        </is>
      </c>
      <c r="G458" t="inlineStr">
        <is>
          <t>MOTALA</t>
        </is>
      </c>
      <c r="H458" t="inlineStr">
        <is>
          <t>Sveaskog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2511-2024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45474</v>
      </c>
      <c r="E459" s="1" t="n">
        <v>46226</v>
      </c>
      <c r="F459" t="inlineStr">
        <is>
          <t>ÖSTERGÖTLANDS LÄN</t>
        </is>
      </c>
      <c r="G459" t="inlineStr">
        <is>
          <t>MOTALA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2535-2024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45475</v>
      </c>
      <c r="E460" s="1" t="n">
        <v>46226</v>
      </c>
      <c r="F460" t="inlineStr">
        <is>
          <t>ÖSTERGÖTLANDS LÄN</t>
        </is>
      </c>
      <c r="G460" t="inlineStr">
        <is>
          <t>MOTALA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1264-2025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45763</v>
      </c>
      <c r="E461" s="1" t="n">
        <v>46226</v>
      </c>
      <c r="F461" t="inlineStr">
        <is>
          <t>ÖSTERGÖTLANDS LÄN</t>
        </is>
      </c>
      <c r="G461" t="inlineStr">
        <is>
          <t>MOTALA</t>
        </is>
      </c>
      <c r="H461" t="inlineStr">
        <is>
          <t>Sveaskog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1475-2025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45786</v>
      </c>
      <c r="E462" s="1" t="n">
        <v>46226</v>
      </c>
      <c r="F462" t="inlineStr">
        <is>
          <t>ÖSTERGÖTLANDS LÄN</t>
        </is>
      </c>
      <c r="G462" t="inlineStr">
        <is>
          <t>MOTALA</t>
        </is>
      </c>
      <c r="H462" t="inlineStr">
        <is>
          <t>Sveaskog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1584-2025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45796</v>
      </c>
      <c r="E463" s="1" t="n">
        <v>46226</v>
      </c>
      <c r="F463" t="inlineStr">
        <is>
          <t>ÖSTERGÖTLANDS LÄN</t>
        </is>
      </c>
      <c r="G463" t="inlineStr">
        <is>
          <t>MOTALA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421-2026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46071</v>
      </c>
      <c r="E464" s="1" t="n">
        <v>46226</v>
      </c>
      <c r="F464" t="inlineStr">
        <is>
          <t>ÖSTERGÖTLANDS LÄN</t>
        </is>
      </c>
      <c r="G464" t="inlineStr">
        <is>
          <t>MOTALA</t>
        </is>
      </c>
      <c r="I464" t="n">
        <v>11.2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523-2026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46077</v>
      </c>
      <c r="E465" s="1" t="n">
        <v>46226</v>
      </c>
      <c r="F465" t="inlineStr">
        <is>
          <t>ÖSTERGÖTLANDS LÄN</t>
        </is>
      </c>
      <c r="G465" t="inlineStr">
        <is>
          <t>MOTALA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>
      <c r="A466" t="inlineStr">
        <is>
          <t>S 820-2026</t>
        </is>
      </c>
      <c r="B466" t="inlineStr">
        <is>
          <t>samrådsanmälan</t>
        </is>
      </c>
      <c r="C466" t="inlineStr">
        <is>
          <t>Annan skogsbruksåtgärd</t>
        </is>
      </c>
      <c r="D466" s="1" t="n">
        <v>46104</v>
      </c>
      <c r="E466" s="1" t="n">
        <v>46226</v>
      </c>
      <c r="F466" t="inlineStr">
        <is>
          <t>ÖSTERGÖTLANDS LÄN</t>
        </is>
      </c>
      <c r="G466" t="inlineStr">
        <is>
          <t>MOTALA</t>
        </is>
      </c>
      <c r="I466" t="n">
        <v>5.1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2026-07-23T01:45:33Z</dcterms:created>
  <dcterms:modified xmlns:dcterms="http://purl.org/dc/terms/" xmlns:xsi="http://www.w3.org/2001/XMLSchema-instance" xsi:type="dcterms:W3CDTF">2026-07-23T01:45:33Z</dcterms:modified>
</cp:coreProperties>
</file>