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46274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46274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46274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46274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46274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46274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46274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32488-2026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46239</v>
      </c>
      <c r="E9" s="1" t="n">
        <v>46274</v>
      </c>
      <c r="F9" t="inlineStr">
        <is>
          <t>ÖSTERGÖTLANDS LÄN</t>
        </is>
      </c>
      <c r="G9" t="inlineStr">
        <is>
          <t>MOTALA</t>
        </is>
      </c>
      <c r="I9" t="n">
        <v>2.5</v>
      </c>
      <c r="J9" t="n">
        <v>3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Knärot
Bronshjon
Mindre märgborre
Thomsons trägnagare
Vågbandad barkbock
Spillkråka
Revlummer</t>
        </is>
      </c>
      <c r="W9">
        <f>HYPERLINK("https://klasma.github.io/Logging_0583/artfynd/A 32488-2026 artfynd.xlsx", "A 32488-2026")</f>
        <v/>
      </c>
      <c r="X9">
        <f>HYPERLINK("https://klasma.github.io/Logging_0583/kartor/A 32488-2026 karta.png", "A 32488-2026")</f>
        <v/>
      </c>
      <c r="Y9">
        <f>HYPERLINK("https://klasma.github.io/Logging_0583/kartor_geotiff/A 32488-2026 georefererad karta.tif", "A 32488-2026")</f>
        <v/>
      </c>
      <c r="Z9">
        <f>HYPERLINK("https://klasma.github.io/Logging_0583/knärot/A 32488-2026 karta knärot.png", "A 32488-2026")</f>
        <v/>
      </c>
      <c r="AA9">
        <f>HYPERLINK("https://klasma.github.io/Logging_0583/klagomål/A 32488-2026 FSC-klagomål.docx", "A 32488-2026")</f>
        <v/>
      </c>
      <c r="AB9">
        <f>HYPERLINK("https://klasma.github.io/Logging_0583/klagomålsmail/A 32488-2026 FSC-klagomål mail.docx", "A 32488-2026")</f>
        <v/>
      </c>
      <c r="AC9">
        <f>HYPERLINK("https://klasma.github.io/Logging_0583/tillsyn/A 32488-2026 tillsynsbegäran.docx", "A 32488-2026")</f>
        <v/>
      </c>
      <c r="AD9">
        <f>HYPERLINK("https://klasma.github.io/Logging_0583/tillsynsmail/A 32488-2026 tillsynsbegäran mail.docx", "A 32488-2026")</f>
        <v/>
      </c>
      <c r="AE9">
        <f>HYPERLINK("https://klasma.github.io/Logging_0583/fåglar/A 32488-2026 prioriterade fågelarter.docx", "A 32488-2026")</f>
        <v/>
      </c>
    </row>
    <row r="10" ht="15" customHeight="1">
      <c r="A10" t="inlineStr">
        <is>
          <t>A 49715-2024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46274</v>
      </c>
      <c r="F10" t="inlineStr">
        <is>
          <t>ÖSTERGÖTLANDS LÄN</t>
        </is>
      </c>
      <c r="G10" t="inlineStr">
        <is>
          <t>MOTALA</t>
        </is>
      </c>
      <c r="H10" t="inlineStr">
        <is>
          <t>Kyrkan</t>
        </is>
      </c>
      <c r="I10" t="n">
        <v>14.1</v>
      </c>
      <c r="J10" t="n">
        <v>2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14</v>
      </c>
      <c r="U10" t="n">
        <v>14</v>
      </c>
      <c r="V10" s="2" t="inlineStr">
        <is>
          <t>Dropptaggsvamp
Motaggsvamp
Talltita
Bronshjon
Flagellkvastmossa
Grovticka
Spillkråka</t>
        </is>
      </c>
      <c r="W10">
        <f>HYPERLINK("https://klasma.github.io/Logging_0583/artfynd/A 49715-2024 artfynd.xlsx", "A 49715-2024")</f>
        <v/>
      </c>
      <c r="X10">
        <f>HYPERLINK("https://klasma.github.io/Logging_0583/kartor/A 49715-2024 karta.png", "A 49715-2024")</f>
        <v/>
      </c>
      <c r="Y10">
        <f>HYPERLINK("https://klasma.github.io/Logging_0583/kartor_geotiff/A 49715-2024 georefererad karta.tif", "A 49715-2024")</f>
        <v/>
      </c>
      <c r="AA10">
        <f>HYPERLINK("https://klasma.github.io/Logging_0583/klagomål/A 49715-2024 FSC-klagomål.docx", "A 49715-2024")</f>
        <v/>
      </c>
      <c r="AB10">
        <f>HYPERLINK("https://klasma.github.io/Logging_0583/klagomålsmail/A 49715-2024 FSC-klagomål mail.docx", "A 49715-2024")</f>
        <v/>
      </c>
      <c r="AC10">
        <f>HYPERLINK("https://klasma.github.io/Logging_0583/tillsyn/A 49715-2024 tillsynsbegäran.docx", "A 49715-2024")</f>
        <v/>
      </c>
      <c r="AD10">
        <f>HYPERLINK("https://klasma.github.io/Logging_0583/tillsynsmail/A 49715-2024 tillsynsbegäran mail.docx", "A 49715-2024")</f>
        <v/>
      </c>
      <c r="AE10">
        <f>HYPERLINK("https://klasma.github.io/Logging_0583/fåglar/A 49715-2024 prioriterade fågelarter.docx", "A 49715-2024")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46274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46274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46274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46274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63217-2025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46010</v>
      </c>
      <c r="E15" s="1" t="n">
        <v>46274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9.699999999999999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7</v>
      </c>
      <c r="V15" s="2" t="inlineStr">
        <is>
          <t>Dropptaggsvamp
Gropticka
Tallticka
Bronshjon
Mindre märgborre
Spillkråka</t>
        </is>
      </c>
      <c r="W15">
        <f>HYPERLINK("https://klasma.github.io/Logging_0583/artfynd/A 63217-2025 artfynd.xlsx", "A 63217-2025")</f>
        <v/>
      </c>
      <c r="X15">
        <f>HYPERLINK("https://klasma.github.io/Logging_0583/kartor/A 63217-2025 karta.png", "A 63217-2025")</f>
        <v/>
      </c>
      <c r="Y15">
        <f>HYPERLINK("https://klasma.github.io/Logging_0583/kartor_geotiff/A 63217-2025 georefererad karta.tif", "A 63217-2025")</f>
        <v/>
      </c>
      <c r="AA15">
        <f>HYPERLINK("https://klasma.github.io/Logging_0583/klagomål/A 63217-2025 FSC-klagomål.docx", "A 63217-2025")</f>
        <v/>
      </c>
      <c r="AB15">
        <f>HYPERLINK("https://klasma.github.io/Logging_0583/klagomålsmail/A 63217-2025 FSC-klagomål mail.docx", "A 63217-2025")</f>
        <v/>
      </c>
      <c r="AC15">
        <f>HYPERLINK("https://klasma.github.io/Logging_0583/tillsyn/A 63217-2025 tillsynsbegäran.docx", "A 63217-2025")</f>
        <v/>
      </c>
      <c r="AD15">
        <f>HYPERLINK("https://klasma.github.io/Logging_0583/tillsynsmail/A 63217-2025 tillsynsbegäran mail.docx", "A 63217-2025")</f>
        <v/>
      </c>
      <c r="AE15">
        <f>HYPERLINK("https://klasma.github.io/Logging_0583/fåglar/A 63217-2025 prioriterade fågelarter.docx", "A 63217-2025")</f>
        <v/>
      </c>
    </row>
    <row r="16" ht="15" customHeight="1">
      <c r="A16" t="inlineStr">
        <is>
          <t>A 17738-2026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46274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8.699999999999999</v>
      </c>
      <c r="J16" t="n">
        <v>2</v>
      </c>
      <c r="K16" t="n">
        <v>3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Knärot
Gullpudra
Björksplintborre
Thomsons trägnagare
Vågbandad barkbock
Blåsippa</t>
        </is>
      </c>
      <c r="W16">
        <f>HYPERLINK("https://klasma.github.io/Logging_0583/artfynd/A 17738-2026 artfynd.xlsx", "A 17738-2026")</f>
        <v/>
      </c>
      <c r="X16">
        <f>HYPERLINK("https://klasma.github.io/Logging_0583/kartor/A 17738-2026 karta.png", "A 17738-2026")</f>
        <v/>
      </c>
      <c r="Y16">
        <f>HYPERLINK("https://klasma.github.io/Logging_0583/kartor_geotiff/A 17738-2026 georefererad karta.tif", "A 17738-2026")</f>
        <v/>
      </c>
      <c r="Z16">
        <f>HYPERLINK("https://klasma.github.io/Logging_0583/knärot/A 17738-2026 karta knärot.png", "A 17738-2026")</f>
        <v/>
      </c>
      <c r="AA16">
        <f>HYPERLINK("https://klasma.github.io/Logging_0583/klagomål/A 17738-2026 FSC-klagomål.docx", "A 17738-2026")</f>
        <v/>
      </c>
      <c r="AB16">
        <f>HYPERLINK("https://klasma.github.io/Logging_0583/klagomålsmail/A 17738-2026 FSC-klagomål mail.docx", "A 17738-2026")</f>
        <v/>
      </c>
      <c r="AC16">
        <f>HYPERLINK("https://klasma.github.io/Logging_0583/tillsyn/A 17738-2026 tillsynsbegäran.docx", "A 17738-2026")</f>
        <v/>
      </c>
      <c r="AD16">
        <f>HYPERLINK("https://klasma.github.io/Logging_0583/tillsynsmail/A 17738-2026 tillsynsbegäran mail.docx", "A 17738-2026")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46274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46274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46274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46274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46274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46274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46274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46274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46274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46274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46274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46274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46274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46274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46274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48392-2024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46274</v>
      </c>
      <c r="F32" t="inlineStr">
        <is>
          <t>ÖSTERGÖTLANDS LÄN</t>
        </is>
      </c>
      <c r="G32" t="inlineStr">
        <is>
          <t>MOTALA</t>
        </is>
      </c>
      <c r="I32" t="n">
        <v>0.6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Vätteros
Nattviol</t>
        </is>
      </c>
      <c r="W32">
        <f>HYPERLINK("https://klasma.github.io/Logging_0583/artfynd/A 48392-2024 artfynd.xlsx", "A 48392-2024")</f>
        <v/>
      </c>
      <c r="X32">
        <f>HYPERLINK("https://klasma.github.io/Logging_0583/kartor/A 48392-2024 karta.png", "A 48392-2024")</f>
        <v/>
      </c>
      <c r="Y32">
        <f>HYPERLINK("https://klasma.github.io/Logging_0583/kartor_geotiff/A 48392-2024 georefererad karta.tif", "A 48392-2024")</f>
        <v/>
      </c>
      <c r="AA32">
        <f>HYPERLINK("https://klasma.github.io/Logging_0583/klagomål/A 48392-2024 FSC-klagomål.docx", "A 48392-2024")</f>
        <v/>
      </c>
      <c r="AB32">
        <f>HYPERLINK("https://klasma.github.io/Logging_0583/klagomålsmail/A 48392-2024 FSC-klagomål mail.docx", "A 48392-2024")</f>
        <v/>
      </c>
      <c r="AC32">
        <f>HYPERLINK("https://klasma.github.io/Logging_0583/tillsyn/A 48392-2024 tillsynsbegäran.docx", "A 48392-2024")</f>
        <v/>
      </c>
      <c r="AD32">
        <f>HYPERLINK("https://klasma.github.io/Logging_0583/tillsynsmail/A 48392-2024 tillsynsbegäran mail.docx", "A 48392-2024")</f>
        <v/>
      </c>
    </row>
    <row r="33" ht="15" customHeight="1">
      <c r="A33" t="inlineStr">
        <is>
          <t>A 30955-2023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46274</v>
      </c>
      <c r="F33" t="inlineStr">
        <is>
          <t>ÖSTERGÖTLANDS LÄN</t>
        </is>
      </c>
      <c r="G33" t="inlineStr">
        <is>
          <t>MOTALA</t>
        </is>
      </c>
      <c r="H33" t="inlineStr">
        <is>
          <t>Övriga statliga verk och myndigheter</t>
        </is>
      </c>
      <c r="I33" t="n">
        <v>7.5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Sparvuggla
Tjäder</t>
        </is>
      </c>
      <c r="W33">
        <f>HYPERLINK("https://klasma.github.io/Logging_0583/artfynd/A 30955-2023 artfynd.xlsx", "A 30955-2023")</f>
        <v/>
      </c>
      <c r="X33">
        <f>HYPERLINK("https://klasma.github.io/Logging_0583/kartor/A 30955-2023 karta.png", "A 30955-2023")</f>
        <v/>
      </c>
      <c r="Y33">
        <f>HYPERLINK("https://klasma.github.io/Logging_0583/kartor_geotiff/A 30955-2023 georefererad karta.tif", "A 30955-2023")</f>
        <v/>
      </c>
      <c r="AA33">
        <f>HYPERLINK("https://klasma.github.io/Logging_0583/klagomål/A 30955-2023 FSC-klagomål.docx", "A 30955-2023")</f>
        <v/>
      </c>
      <c r="AB33">
        <f>HYPERLINK("https://klasma.github.io/Logging_0583/klagomålsmail/A 30955-2023 FSC-klagomål mail.docx", "A 30955-2023")</f>
        <v/>
      </c>
      <c r="AC33">
        <f>HYPERLINK("https://klasma.github.io/Logging_0583/tillsyn/A 30955-2023 tillsynsbegäran.docx", "A 30955-2023")</f>
        <v/>
      </c>
      <c r="AD33">
        <f>HYPERLINK("https://klasma.github.io/Logging_0583/tillsynsmail/A 30955-2023 tillsynsbegäran mail.docx", "A 30955-2023")</f>
        <v/>
      </c>
      <c r="AE33">
        <f>HYPERLINK("https://klasma.github.io/Logging_0583/fåglar/A 30955-2023 prioriterade fågelarter.docx", "A 30955-2023")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46274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46274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46274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46274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21991-2023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46274</v>
      </c>
      <c r="F38" t="inlineStr">
        <is>
          <t>ÖSTERGÖTLANDS LÄN</t>
        </is>
      </c>
      <c r="G38" t="inlineStr">
        <is>
          <t>MOTALA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Vedtrappmossa</t>
        </is>
      </c>
      <c r="W38">
        <f>HYPERLINK("https://klasma.github.io/Logging_0583/artfynd/A 21991-2023 artfynd.xlsx", "A 21991-2023")</f>
        <v/>
      </c>
      <c r="X38">
        <f>HYPERLINK("https://klasma.github.io/Logging_0583/kartor/A 21991-2023 karta.png", "A 21991-2023")</f>
        <v/>
      </c>
      <c r="Y38">
        <f>HYPERLINK("https://klasma.github.io/Logging_0583/kartor_geotiff/A 21991-2023 georefererad karta.tif", "A 21991-2023")</f>
        <v/>
      </c>
      <c r="AA38">
        <f>HYPERLINK("https://klasma.github.io/Logging_0583/klagomål/A 21991-2023 FSC-klagomål.docx", "A 21991-2023")</f>
        <v/>
      </c>
      <c r="AB38">
        <f>HYPERLINK("https://klasma.github.io/Logging_0583/klagomålsmail/A 21991-2023 FSC-klagomål mail.docx", "A 21991-2023")</f>
        <v/>
      </c>
      <c r="AC38">
        <f>HYPERLINK("https://klasma.github.io/Logging_0583/tillsyn/A 21991-2023 tillsynsbegäran.docx", "A 21991-2023")</f>
        <v/>
      </c>
      <c r="AD38">
        <f>HYPERLINK("https://klasma.github.io/Logging_0583/tillsynsmail/A 21991-2023 tillsynsbegäran mail.docx", "A 21991-2023")</f>
        <v/>
      </c>
    </row>
    <row r="39" ht="15" customHeight="1">
      <c r="A39" t="inlineStr">
        <is>
          <t>A 44814-2025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45918</v>
      </c>
      <c r="E39" s="1" t="n">
        <v>46274</v>
      </c>
      <c r="F39" t="inlineStr">
        <is>
          <t>ÖSTERGÖTLANDS LÄN</t>
        </is>
      </c>
      <c r="G39" t="inlineStr">
        <is>
          <t>MOTALA</t>
        </is>
      </c>
      <c r="I39" t="n">
        <v>5.9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HYPERLINK("https://klasma.github.io/Logging_0583/artfynd/A 44814-2025 artfynd.xlsx", "A 44814-2025")</f>
        <v/>
      </c>
      <c r="X39">
        <f>HYPERLINK("https://klasma.github.io/Logging_0583/kartor/A 44814-2025 karta.png", "A 44814-2025")</f>
        <v/>
      </c>
      <c r="Y39">
        <f>HYPERLINK("https://klasma.github.io/Logging_0583/kartor_geotiff/A 44814-2025 georefererad karta.tif", "A 44814-2025")</f>
        <v/>
      </c>
      <c r="AA39">
        <f>HYPERLINK("https://klasma.github.io/Logging_0583/klagomål/A 44814-2025 FSC-klagomål.docx", "A 44814-2025")</f>
        <v/>
      </c>
      <c r="AB39">
        <f>HYPERLINK("https://klasma.github.io/Logging_0583/klagomålsmail/A 44814-2025 FSC-klagomål mail.docx", "A 44814-2025")</f>
        <v/>
      </c>
      <c r="AC39">
        <f>HYPERLINK("https://klasma.github.io/Logging_0583/tillsyn/A 44814-2025 tillsynsbegäran.docx", "A 44814-2025")</f>
        <v/>
      </c>
      <c r="AD39">
        <f>HYPERLINK("https://klasma.github.io/Logging_0583/tillsynsmail/A 44814-2025 tillsynsbegäran mail.docx", "A 44814-2025")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46274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46274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27907-2026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46274</v>
      </c>
      <c r="F42" t="inlineStr">
        <is>
          <t>ÖSTERGÖTLANDS LÄN</t>
        </is>
      </c>
      <c r="G42" t="inlineStr">
        <is>
          <t>MOTALA</t>
        </is>
      </c>
      <c r="H42" t="inlineStr">
        <is>
          <t>Holmen skog AB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HYPERLINK("https://klasma.github.io/Logging_0583/artfynd/A 27907-2026 artfynd.xlsx", "A 27907-2026")</f>
        <v/>
      </c>
      <c r="X42">
        <f>HYPERLINK("https://klasma.github.io/Logging_0583/kartor/A 27907-2026 karta.png", "A 27907-2026")</f>
        <v/>
      </c>
      <c r="Y42">
        <f>HYPERLINK("https://klasma.github.io/Logging_0583/kartor_geotiff/A 27907-2026 georefererad karta.tif", "A 27907-2026")</f>
        <v/>
      </c>
      <c r="AA42">
        <f>HYPERLINK("https://klasma.github.io/Logging_0583/klagomål/A 27907-2026 FSC-klagomål.docx", "A 27907-2026")</f>
        <v/>
      </c>
      <c r="AB42">
        <f>HYPERLINK("https://klasma.github.io/Logging_0583/klagomålsmail/A 27907-2026 FSC-klagomål mail.docx", "A 27907-2026")</f>
        <v/>
      </c>
      <c r="AC42">
        <f>HYPERLINK("https://klasma.github.io/Logging_0583/tillsyn/A 27907-2026 tillsynsbegäran.docx", "A 27907-2026")</f>
        <v/>
      </c>
      <c r="AD42">
        <f>HYPERLINK("https://klasma.github.io/Logging_0583/tillsynsmail/A 27907-2026 tillsynsbegäran mail.docx", "A 27907-2026")</f>
        <v/>
      </c>
      <c r="AE42">
        <f>HYPERLINK("https://klasma.github.io/Logging_0583/fåglar/A 27907-2026 prioriterade fågelarter.docx", "A 27907-2026")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46274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17739-2026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46274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HYPERLINK("https://klasma.github.io/Logging_0583/artfynd/A 17739-2026 artfynd.xlsx", "A 17739-2026")</f>
        <v/>
      </c>
      <c r="X44">
        <f>HYPERLINK("https://klasma.github.io/Logging_0583/kartor/A 17739-2026 karta.png", "A 17739-2026")</f>
        <v/>
      </c>
      <c r="Y44">
        <f>HYPERLINK("https://klasma.github.io/Logging_0583/kartor_geotiff/A 17739-2026 georefererad karta.tif", "A 17739-2026")</f>
        <v/>
      </c>
      <c r="AA44">
        <f>HYPERLINK("https://klasma.github.io/Logging_0583/klagomål/A 17739-2026 FSC-klagomål.docx", "A 17739-2026")</f>
        <v/>
      </c>
      <c r="AB44">
        <f>HYPERLINK("https://klasma.github.io/Logging_0583/klagomålsmail/A 17739-2026 FSC-klagomål mail.docx", "A 17739-2026")</f>
        <v/>
      </c>
      <c r="AC44">
        <f>HYPERLINK("https://klasma.github.io/Logging_0583/tillsyn/A 17739-2026 tillsynsbegäran.docx", "A 17739-2026")</f>
        <v/>
      </c>
      <c r="AD44">
        <f>HYPERLINK("https://klasma.github.io/Logging_0583/tillsynsmail/A 17739-2026 tillsynsbegäran mail.docx", "A 17739-2026")</f>
        <v/>
      </c>
      <c r="AE44">
        <f>HYPERLINK("https://klasma.github.io/Logging_0583/fåglar/A 17739-2026 prioriterade fågelarter.docx", "A 17739-2026")</f>
        <v/>
      </c>
    </row>
    <row r="45" ht="15" customHeight="1">
      <c r="A45" t="inlineStr">
        <is>
          <t>A 17740-2026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46274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HYPERLINK("https://klasma.github.io/Logging_0583/artfynd/A 17740-2026 artfynd.xlsx", "A 17740-2026")</f>
        <v/>
      </c>
      <c r="X45">
        <f>HYPERLINK("https://klasma.github.io/Logging_0583/kartor/A 17740-2026 karta.png", "A 17740-2026")</f>
        <v/>
      </c>
      <c r="Y45">
        <f>HYPERLINK("https://klasma.github.io/Logging_0583/kartor_geotiff/A 17740-2026 georefererad karta.tif", "A 17740-2026")</f>
        <v/>
      </c>
      <c r="AA45">
        <f>HYPERLINK("https://klasma.github.io/Logging_0583/klagomål/A 17740-2026 FSC-klagomål.docx", "A 17740-2026")</f>
        <v/>
      </c>
      <c r="AB45">
        <f>HYPERLINK("https://klasma.github.io/Logging_0583/klagomålsmail/A 17740-2026 FSC-klagomål mail.docx", "A 17740-2026")</f>
        <v/>
      </c>
      <c r="AC45">
        <f>HYPERLINK("https://klasma.github.io/Logging_0583/tillsyn/A 17740-2026 tillsynsbegäran.docx", "A 17740-2026")</f>
        <v/>
      </c>
      <c r="AD45">
        <f>HYPERLINK("https://klasma.github.io/Logging_0583/tillsynsmail/A 17740-2026 tillsynsbegäran mail.docx", "A 17740-2026")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46274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52523-2022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46274</v>
      </c>
      <c r="F47" t="inlineStr">
        <is>
          <t>ÖSTERGÖTLANDS LÄN</t>
        </is>
      </c>
      <c r="G47" t="inlineStr">
        <is>
          <t>MOTALA</t>
        </is>
      </c>
      <c r="H47" t="inlineStr">
        <is>
          <t>Kyrkan</t>
        </is>
      </c>
      <c r="I47" t="n">
        <v>6.7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HYPERLINK("https://klasma.github.io/Logging_0583/artfynd/A 52523-2022 artfynd.xlsx", "A 52523-2022")</f>
        <v/>
      </c>
      <c r="X47">
        <f>HYPERLINK("https://klasma.github.io/Logging_0583/kartor/A 52523-2022 karta.png", "A 52523-2022")</f>
        <v/>
      </c>
      <c r="Y47">
        <f>HYPERLINK("https://klasma.github.io/Logging_0583/kartor_geotiff/A 52523-2022 georefererad karta.tif", "A 52523-2022")</f>
        <v/>
      </c>
      <c r="AA47">
        <f>HYPERLINK("https://klasma.github.io/Logging_0583/klagomål/A 52523-2022 FSC-klagomål.docx", "A 52523-2022")</f>
        <v/>
      </c>
      <c r="AB47">
        <f>HYPERLINK("https://klasma.github.io/Logging_0583/klagomålsmail/A 52523-2022 FSC-klagomål mail.docx", "A 52523-2022")</f>
        <v/>
      </c>
      <c r="AC47">
        <f>HYPERLINK("https://klasma.github.io/Logging_0583/tillsyn/A 52523-2022 tillsynsbegäran.docx", "A 52523-2022")</f>
        <v/>
      </c>
      <c r="AD47">
        <f>HYPERLINK("https://klasma.github.io/Logging_0583/tillsynsmail/A 52523-2022 tillsynsbegäran mail.docx", "A 52523-2022")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46274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46274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46274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46274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46274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46274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46274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46274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46274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46274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46274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46274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46274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46274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46274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46274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46274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46274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46274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46274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46274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46274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46274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46274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46274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46274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46274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46274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46274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46274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46274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46274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46274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46274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46274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46274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46274</v>
      </c>
      <c r="F84" t="inlineStr">
        <is>
          <t>ÖSTERGÖTLANDS LÄN</t>
        </is>
      </c>
      <c r="G84" t="inlineStr">
        <is>
          <t>MOTALA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46274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46274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46274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46274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46274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46274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46274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46274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46274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46274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46274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46274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46274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46274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46274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46274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46274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46274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46274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46274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46274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46274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46274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46274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46274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46274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46274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46274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46274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46274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46274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46274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46274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46274</v>
      </c>
      <c r="F118" t="inlineStr">
        <is>
          <t>ÖSTERGÖTLANDS LÄN</t>
        </is>
      </c>
      <c r="G118" t="inlineStr">
        <is>
          <t>MOTALA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44984</v>
      </c>
      <c r="E119" s="1" t="n">
        <v>46274</v>
      </c>
      <c r="F119" t="inlineStr">
        <is>
          <t>ÖSTERGÖTLANDS LÄN</t>
        </is>
      </c>
      <c r="G119" t="inlineStr">
        <is>
          <t>MOTALA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46274</v>
      </c>
      <c r="F120" t="inlineStr">
        <is>
          <t>ÖSTERGÖTLANDS LÄN</t>
        </is>
      </c>
      <c r="G120" t="inlineStr">
        <is>
          <t>MOTALA</t>
        </is>
      </c>
      <c r="H120" t="inlineStr">
        <is>
          <t>Övriga statliga verk och myndigheter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46274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46274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46274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46274</v>
      </c>
      <c r="F124" t="inlineStr">
        <is>
          <t>ÖSTERGÖTLANDS LÄN</t>
        </is>
      </c>
      <c r="G124" t="inlineStr">
        <is>
          <t>MOTALA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46274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46274</v>
      </c>
      <c r="F126" t="inlineStr">
        <is>
          <t>ÖSTERGÖTLANDS LÄN</t>
        </is>
      </c>
      <c r="G126" t="inlineStr">
        <is>
          <t>MOTALA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46274</v>
      </c>
      <c r="F127" t="inlineStr">
        <is>
          <t>ÖSTERGÖTLANDS LÄN</t>
        </is>
      </c>
      <c r="G127" t="inlineStr">
        <is>
          <t>MOTALA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46274</v>
      </c>
      <c r="F128" t="inlineStr">
        <is>
          <t>ÖSTERGÖTLANDS LÄN</t>
        </is>
      </c>
      <c r="G128" t="inlineStr">
        <is>
          <t>MOTALA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46274</v>
      </c>
      <c r="F129" t="inlineStr">
        <is>
          <t>ÖSTERGÖTLANDS LÄN</t>
        </is>
      </c>
      <c r="G129" t="inlineStr">
        <is>
          <t>MOTALA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46274</v>
      </c>
      <c r="F130" t="inlineStr">
        <is>
          <t>ÖSTERGÖTLANDS LÄN</t>
        </is>
      </c>
      <c r="G130" t="inlineStr">
        <is>
          <t>MOTALA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46274</v>
      </c>
      <c r="F131" t="inlineStr">
        <is>
          <t>ÖSTERGÖTLANDS LÄN</t>
        </is>
      </c>
      <c r="G131" t="inlineStr">
        <is>
          <t>MOTALA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46274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46274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46274</v>
      </c>
      <c r="F134" t="inlineStr">
        <is>
          <t>ÖSTERGÖTLANDS LÄN</t>
        </is>
      </c>
      <c r="G134" t="inlineStr">
        <is>
          <t>MOTALA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46274</v>
      </c>
      <c r="F135" t="inlineStr">
        <is>
          <t>ÖSTERGÖTLANDS LÄN</t>
        </is>
      </c>
      <c r="G135" t="inlineStr">
        <is>
          <t>MOTALA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46274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45302</v>
      </c>
      <c r="E137" s="1" t="n">
        <v>46274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46274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46274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44748</v>
      </c>
      <c r="E140" s="1" t="n">
        <v>46274</v>
      </c>
      <c r="F140" t="inlineStr">
        <is>
          <t>ÖSTERGÖTLANDS LÄN</t>
        </is>
      </c>
      <c r="G140" t="inlineStr">
        <is>
          <t>MOTALA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46274</v>
      </c>
      <c r="F141" t="inlineStr">
        <is>
          <t>ÖSTERGÖTLANDS LÄN</t>
        </is>
      </c>
      <c r="G141" t="inlineStr">
        <is>
          <t>MOTALA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46274</v>
      </c>
      <c r="F142" t="inlineStr">
        <is>
          <t>ÖSTERGÖTLANDS LÄN</t>
        </is>
      </c>
      <c r="G142" t="inlineStr">
        <is>
          <t>MOTALA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46274</v>
      </c>
      <c r="F143" t="inlineStr">
        <is>
          <t>ÖSTERGÖTLANDS LÄN</t>
        </is>
      </c>
      <c r="G143" t="inlineStr">
        <is>
          <t>MOTALA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44937</v>
      </c>
      <c r="E144" s="1" t="n">
        <v>46274</v>
      </c>
      <c r="F144" t="inlineStr">
        <is>
          <t>ÖSTERGÖTLANDS LÄN</t>
        </is>
      </c>
      <c r="G144" t="inlineStr">
        <is>
          <t>MOTALA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46274</v>
      </c>
      <c r="F145" t="inlineStr">
        <is>
          <t>ÖSTERGÖTLANDS LÄN</t>
        </is>
      </c>
      <c r="G145" t="inlineStr">
        <is>
          <t>MOTALA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46274</v>
      </c>
      <c r="F146" t="inlineStr">
        <is>
          <t>ÖSTERGÖTLANDS LÄN</t>
        </is>
      </c>
      <c r="G146" t="inlineStr">
        <is>
          <t>MOTALA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46274</v>
      </c>
      <c r="F147" t="inlineStr">
        <is>
          <t>ÖSTERGÖTLANDS LÄN</t>
        </is>
      </c>
      <c r="G147" t="inlineStr">
        <is>
          <t>MOTALA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46274</v>
      </c>
      <c r="F148" t="inlineStr">
        <is>
          <t>ÖSTERGÖTLANDS LÄN</t>
        </is>
      </c>
      <c r="G148" t="inlineStr">
        <is>
          <t>MOTALA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46274</v>
      </c>
      <c r="F149" t="inlineStr">
        <is>
          <t>ÖSTERGÖTLANDS LÄN</t>
        </is>
      </c>
      <c r="G149" t="inlineStr">
        <is>
          <t>MOTALA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46274</v>
      </c>
      <c r="F150" t="inlineStr">
        <is>
          <t>ÖSTERGÖTLANDS LÄN</t>
        </is>
      </c>
      <c r="G150" t="inlineStr">
        <is>
          <t>MOTALA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46274</v>
      </c>
      <c r="F151" t="inlineStr">
        <is>
          <t>ÖSTERGÖTLANDS LÄN</t>
        </is>
      </c>
      <c r="G151" t="inlineStr">
        <is>
          <t>MOTALA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45429</v>
      </c>
      <c r="E152" s="1" t="n">
        <v>46274</v>
      </c>
      <c r="F152" t="inlineStr">
        <is>
          <t>ÖSTERGÖTLANDS LÄN</t>
        </is>
      </c>
      <c r="G152" t="inlineStr">
        <is>
          <t>MOTALA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50785-2021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44459</v>
      </c>
      <c r="E153" s="1" t="n">
        <v>46274</v>
      </c>
      <c r="F153" t="inlineStr">
        <is>
          <t>ÖSTERGÖTLANDS LÄN</t>
        </is>
      </c>
      <c r="G153" t="inlineStr">
        <is>
          <t>MOTALA</t>
        </is>
      </c>
      <c r="H153" t="inlineStr">
        <is>
          <t>Kyrkan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46274</v>
      </c>
      <c r="F154" t="inlineStr">
        <is>
          <t>ÖSTERGÖTLANDS LÄN</t>
        </is>
      </c>
      <c r="G154" t="inlineStr">
        <is>
          <t>MOTALA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46274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44575</v>
      </c>
      <c r="E156" s="1" t="n">
        <v>46274</v>
      </c>
      <c r="F156" t="inlineStr">
        <is>
          <t>ÖSTERGÖTLANDS LÄN</t>
        </is>
      </c>
      <c r="G156" t="inlineStr">
        <is>
          <t>MOTALA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44967</v>
      </c>
      <c r="E157" s="1" t="n">
        <v>46274</v>
      </c>
      <c r="F157" t="inlineStr">
        <is>
          <t>ÖSTERGÖTLANDS LÄN</t>
        </is>
      </c>
      <c r="G157" t="inlineStr">
        <is>
          <t>MOTALA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46274</v>
      </c>
      <c r="F158" t="inlineStr">
        <is>
          <t>ÖSTERGÖTLANDS LÄN</t>
        </is>
      </c>
      <c r="G158" t="inlineStr">
        <is>
          <t>MOTALA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45401</v>
      </c>
      <c r="E159" s="1" t="n">
        <v>46274</v>
      </c>
      <c r="F159" t="inlineStr">
        <is>
          <t>ÖSTERGÖTLANDS LÄN</t>
        </is>
      </c>
      <c r="G159" t="inlineStr">
        <is>
          <t>MOTALA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46274</v>
      </c>
      <c r="F160" t="inlineStr">
        <is>
          <t>ÖSTERGÖTLANDS LÄN</t>
        </is>
      </c>
      <c r="G160" t="inlineStr">
        <is>
          <t>MOTALA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46274</v>
      </c>
      <c r="F161" t="inlineStr">
        <is>
          <t>ÖSTERGÖTLANDS LÄN</t>
        </is>
      </c>
      <c r="G161" t="inlineStr">
        <is>
          <t>MOTALA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46274</v>
      </c>
      <c r="F162" t="inlineStr">
        <is>
          <t>ÖSTERGÖTLANDS LÄN</t>
        </is>
      </c>
      <c r="G162" t="inlineStr">
        <is>
          <t>MOTALA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46274</v>
      </c>
      <c r="F163" t="inlineStr">
        <is>
          <t>ÖSTERGÖTLANDS LÄN</t>
        </is>
      </c>
      <c r="G163" t="inlineStr">
        <is>
          <t>MOTALA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46274</v>
      </c>
      <c r="F164" t="inlineStr">
        <is>
          <t>ÖSTERGÖTLANDS LÄN</t>
        </is>
      </c>
      <c r="G164" t="inlineStr">
        <is>
          <t>MOTALA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56275-2022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44890</v>
      </c>
      <c r="E165" s="1" t="n">
        <v>46274</v>
      </c>
      <c r="F165" t="inlineStr">
        <is>
          <t>ÖSTERGÖTLANDS LÄN</t>
        </is>
      </c>
      <c r="G165" t="inlineStr">
        <is>
          <t>MOTALA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46274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46274</v>
      </c>
      <c r="F167" t="inlineStr">
        <is>
          <t>ÖSTERGÖTLANDS LÄN</t>
        </is>
      </c>
      <c r="G167" t="inlineStr">
        <is>
          <t>MOTALA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46274</v>
      </c>
      <c r="F168" t="inlineStr">
        <is>
          <t>ÖSTERGÖTLANDS LÄN</t>
        </is>
      </c>
      <c r="G168" t="inlineStr">
        <is>
          <t>MOTALA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46274</v>
      </c>
      <c r="F169" t="inlineStr">
        <is>
          <t>ÖSTERGÖTLANDS LÄN</t>
        </is>
      </c>
      <c r="G169" t="inlineStr">
        <is>
          <t>MOTALA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46274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44645</v>
      </c>
      <c r="E171" s="1" t="n">
        <v>46274</v>
      </c>
      <c r="F171" t="inlineStr">
        <is>
          <t>ÖSTERGÖTLANDS LÄN</t>
        </is>
      </c>
      <c r="G171" t="inlineStr">
        <is>
          <t>MOTALA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46274</v>
      </c>
      <c r="F172" t="inlineStr">
        <is>
          <t>ÖSTERGÖTLANDS LÄN</t>
        </is>
      </c>
      <c r="G172" t="inlineStr">
        <is>
          <t>MOTALA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46274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46274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46274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46274</v>
      </c>
      <c r="F176" t="inlineStr">
        <is>
          <t>ÖSTERGÖTLANDS LÄN</t>
        </is>
      </c>
      <c r="G176" t="inlineStr">
        <is>
          <t>MOTALA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46274</v>
      </c>
      <c r="F177" t="inlineStr">
        <is>
          <t>ÖSTERGÖTLANDS LÄN</t>
        </is>
      </c>
      <c r="G177" t="inlineStr">
        <is>
          <t>MOTALA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44628</v>
      </c>
      <c r="E178" s="1" t="n">
        <v>46274</v>
      </c>
      <c r="F178" t="inlineStr">
        <is>
          <t>ÖSTERGÖTLANDS LÄN</t>
        </is>
      </c>
      <c r="G178" t="inlineStr">
        <is>
          <t>MOTALA</t>
        </is>
      </c>
      <c r="H178" t="inlineStr">
        <is>
          <t>Allmännings- och besparingsskogar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45695</v>
      </c>
      <c r="E179" s="1" t="n">
        <v>46274</v>
      </c>
      <c r="F179" t="inlineStr">
        <is>
          <t>ÖSTERGÖTLANDS LÄN</t>
        </is>
      </c>
      <c r="G179" t="inlineStr">
        <is>
          <t>MOTALA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46274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57992-2021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44487</v>
      </c>
      <c r="E181" s="1" t="n">
        <v>46274</v>
      </c>
      <c r="F181" t="inlineStr">
        <is>
          <t>ÖSTERGÖTLANDS LÄN</t>
        </is>
      </c>
      <c r="G181" t="inlineStr">
        <is>
          <t>MOTALA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46274</v>
      </c>
      <c r="F182" t="inlineStr">
        <is>
          <t>ÖSTERGÖTLANDS LÄN</t>
        </is>
      </c>
      <c r="G182" t="inlineStr">
        <is>
          <t>MOTALA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46274</v>
      </c>
      <c r="F183" t="inlineStr">
        <is>
          <t>ÖSTERGÖTLANDS LÄN</t>
        </is>
      </c>
      <c r="G183" t="inlineStr">
        <is>
          <t>MOTALA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46274</v>
      </c>
      <c r="F184" t="inlineStr">
        <is>
          <t>ÖSTERGÖTLANDS LÄN</t>
        </is>
      </c>
      <c r="G184" t="inlineStr">
        <is>
          <t>MOTALA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46274</v>
      </c>
      <c r="F185" t="inlineStr">
        <is>
          <t>ÖSTERGÖTLANDS LÄN</t>
        </is>
      </c>
      <c r="G185" t="inlineStr">
        <is>
          <t>MOTALA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46274</v>
      </c>
      <c r="F186" t="inlineStr">
        <is>
          <t>ÖSTERGÖTLANDS LÄN</t>
        </is>
      </c>
      <c r="G186" t="inlineStr">
        <is>
          <t>MOTALA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60610-2022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44911</v>
      </c>
      <c r="E187" s="1" t="n">
        <v>46274</v>
      </c>
      <c r="F187" t="inlineStr">
        <is>
          <t>ÖSTERGÖTLANDS LÄN</t>
        </is>
      </c>
      <c r="G187" t="inlineStr">
        <is>
          <t>MOTALA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44455</v>
      </c>
      <c r="E188" s="1" t="n">
        <v>46274</v>
      </c>
      <c r="F188" t="inlineStr">
        <is>
          <t>ÖSTERGÖTLANDS LÄN</t>
        </is>
      </c>
      <c r="G188" t="inlineStr">
        <is>
          <t>MOTALA</t>
        </is>
      </c>
      <c r="I188" t="n">
        <v>14.2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46274</v>
      </c>
      <c r="F189" t="inlineStr">
        <is>
          <t>ÖSTERGÖTLANDS LÄN</t>
        </is>
      </c>
      <c r="G189" t="inlineStr">
        <is>
          <t>MOTALA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44931</v>
      </c>
      <c r="E190" s="1" t="n">
        <v>46274</v>
      </c>
      <c r="F190" t="inlineStr">
        <is>
          <t>ÖSTERGÖTLANDS LÄN</t>
        </is>
      </c>
      <c r="G190" t="inlineStr">
        <is>
          <t>MOTALA</t>
        </is>
      </c>
      <c r="H190" t="inlineStr">
        <is>
          <t>Övriga statliga verk och myndigheter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46274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46274</v>
      </c>
      <c r="F192" t="inlineStr">
        <is>
          <t>ÖSTERGÖTLANDS LÄN</t>
        </is>
      </c>
      <c r="G192" t="inlineStr">
        <is>
          <t>MOTALA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46274</v>
      </c>
      <c r="F193" t="inlineStr">
        <is>
          <t>ÖSTERGÖTLANDS LÄN</t>
        </is>
      </c>
      <c r="G193" t="inlineStr">
        <is>
          <t>MOTALA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46274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46274</v>
      </c>
      <c r="F195" t="inlineStr">
        <is>
          <t>ÖSTERGÖTLANDS LÄN</t>
        </is>
      </c>
      <c r="G195" t="inlineStr">
        <is>
          <t>MOTALA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46274</v>
      </c>
      <c r="F196" t="inlineStr">
        <is>
          <t>ÖSTERGÖTLANDS LÄN</t>
        </is>
      </c>
      <c r="G196" t="inlineStr">
        <is>
          <t>MOTALA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46274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46274</v>
      </c>
      <c r="F198" t="inlineStr">
        <is>
          <t>ÖSTERGÖTLANDS LÄN</t>
        </is>
      </c>
      <c r="G198" t="inlineStr">
        <is>
          <t>MOTALA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46274</v>
      </c>
      <c r="F199" t="inlineStr">
        <is>
          <t>ÖSTERGÖTLANDS LÄN</t>
        </is>
      </c>
      <c r="G199" t="inlineStr">
        <is>
          <t>MOTALA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44592</v>
      </c>
      <c r="E200" s="1" t="n">
        <v>46274</v>
      </c>
      <c r="F200" t="inlineStr">
        <is>
          <t>ÖSTERGÖTLANDS LÄN</t>
        </is>
      </c>
      <c r="G200" t="inlineStr">
        <is>
          <t>MOTALA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46274</v>
      </c>
      <c r="F201" t="inlineStr">
        <is>
          <t>ÖSTERGÖTLANDS LÄN</t>
        </is>
      </c>
      <c r="G201" t="inlineStr">
        <is>
          <t>MOTALA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20815-2026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46141</v>
      </c>
      <c r="E202" s="1" t="n">
        <v>46274</v>
      </c>
      <c r="F202" t="inlineStr">
        <is>
          <t>ÖSTERGÖTLANDS LÄN</t>
        </is>
      </c>
      <c r="G202" t="inlineStr">
        <is>
          <t>MOTALA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46274</v>
      </c>
      <c r="F203" t="inlineStr">
        <is>
          <t>ÖSTERGÖTLANDS LÄN</t>
        </is>
      </c>
      <c r="G203" t="inlineStr">
        <is>
          <t>MOTALA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46274</v>
      </c>
      <c r="F204" t="inlineStr">
        <is>
          <t>ÖSTERGÖTLANDS LÄN</t>
        </is>
      </c>
      <c r="G204" t="inlineStr">
        <is>
          <t>MOTALA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46274</v>
      </c>
      <c r="F205" t="inlineStr">
        <is>
          <t>ÖSTERGÖTLANDS LÄN</t>
        </is>
      </c>
      <c r="G205" t="inlineStr">
        <is>
          <t>MOTALA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46274</v>
      </c>
      <c r="F206" t="inlineStr">
        <is>
          <t>ÖSTERGÖTLANDS LÄN</t>
        </is>
      </c>
      <c r="G206" t="inlineStr">
        <is>
          <t>MOTALA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46274</v>
      </c>
      <c r="F207" t="inlineStr">
        <is>
          <t>ÖSTERGÖTLANDS LÄN</t>
        </is>
      </c>
      <c r="G207" t="inlineStr">
        <is>
          <t>MOTALA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46274</v>
      </c>
      <c r="F208" t="inlineStr">
        <is>
          <t>ÖSTERGÖTLANDS LÄN</t>
        </is>
      </c>
      <c r="G208" t="inlineStr">
        <is>
          <t>MOTALA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46274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20.4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46274</v>
      </c>
      <c r="F210" t="inlineStr">
        <is>
          <t>ÖSTERGÖTLANDS LÄN</t>
        </is>
      </c>
      <c r="G210" t="inlineStr">
        <is>
          <t>MOTALA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46274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46274</v>
      </c>
      <c r="F212" t="inlineStr">
        <is>
          <t>ÖSTERGÖTLANDS LÄN</t>
        </is>
      </c>
      <c r="G212" t="inlineStr">
        <is>
          <t>MOTALA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46142</v>
      </c>
      <c r="E213" s="1" t="n">
        <v>46274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46274</v>
      </c>
      <c r="F214" t="inlineStr">
        <is>
          <t>ÖSTERGÖTLANDS LÄN</t>
        </is>
      </c>
      <c r="G214" t="inlineStr">
        <is>
          <t>MOTALA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46274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46274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46274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46274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46274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46274</v>
      </c>
      <c r="F220" t="inlineStr">
        <is>
          <t>ÖSTERGÖTLANDS LÄN</t>
        </is>
      </c>
      <c r="G220" t="inlineStr">
        <is>
          <t>MOTALA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46274</v>
      </c>
      <c r="F221" t="inlineStr">
        <is>
          <t>ÖSTERGÖTLANDS LÄN</t>
        </is>
      </c>
      <c r="G221" t="inlineStr">
        <is>
          <t>MOTALA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46274</v>
      </c>
      <c r="F222" t="inlineStr">
        <is>
          <t>ÖSTERGÖTLANDS LÄN</t>
        </is>
      </c>
      <c r="G222" t="inlineStr">
        <is>
          <t>MOTALA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46274</v>
      </c>
      <c r="F223" t="inlineStr">
        <is>
          <t>ÖSTERGÖTLANDS LÄN</t>
        </is>
      </c>
      <c r="G223" t="inlineStr">
        <is>
          <t>MOTALA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45593</v>
      </c>
      <c r="E224" s="1" t="n">
        <v>46274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31753-2022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44776</v>
      </c>
      <c r="E225" s="1" t="n">
        <v>46274</v>
      </c>
      <c r="F225" t="inlineStr">
        <is>
          <t>ÖSTERGÖTLANDS LÄN</t>
        </is>
      </c>
      <c r="G225" t="inlineStr">
        <is>
          <t>MOTALA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44951</v>
      </c>
      <c r="E226" s="1" t="n">
        <v>46274</v>
      </c>
      <c r="F226" t="inlineStr">
        <is>
          <t>ÖSTERGÖTLANDS LÄN</t>
        </is>
      </c>
      <c r="G226" t="inlineStr">
        <is>
          <t>MOTALA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45351</v>
      </c>
      <c r="E227" s="1" t="n">
        <v>46274</v>
      </c>
      <c r="F227" t="inlineStr">
        <is>
          <t>ÖSTERGÖTLANDS LÄN</t>
        </is>
      </c>
      <c r="G227" t="inlineStr">
        <is>
          <t>MOTALA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46274</v>
      </c>
      <c r="F228" t="inlineStr">
        <is>
          <t>ÖSTERGÖTLANDS LÄN</t>
        </is>
      </c>
      <c r="G228" t="inlineStr">
        <is>
          <t>MOTALA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46158</v>
      </c>
      <c r="E229" s="1" t="n">
        <v>46274</v>
      </c>
      <c r="F229" t="inlineStr">
        <is>
          <t>ÖSTERGÖTLANDS LÄN</t>
        </is>
      </c>
      <c r="G229" t="inlineStr">
        <is>
          <t>MOTALA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46160</v>
      </c>
      <c r="E230" s="1" t="n">
        <v>46274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17.1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45114</v>
      </c>
      <c r="E231" s="1" t="n">
        <v>46274</v>
      </c>
      <c r="F231" t="inlineStr">
        <is>
          <t>ÖSTERGÖTLANDS LÄN</t>
        </is>
      </c>
      <c r="G231" t="inlineStr">
        <is>
          <t>MOTALA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46274</v>
      </c>
      <c r="F232" t="inlineStr">
        <is>
          <t>ÖSTERGÖTLANDS LÄN</t>
        </is>
      </c>
      <c r="G232" t="inlineStr">
        <is>
          <t>MOTALA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46160</v>
      </c>
      <c r="E233" s="1" t="n">
        <v>46274</v>
      </c>
      <c r="F233" t="inlineStr">
        <is>
          <t>ÖSTERGÖTLANDS LÄN</t>
        </is>
      </c>
      <c r="G233" t="inlineStr">
        <is>
          <t>MOTALA</t>
        </is>
      </c>
      <c r="H233" t="inlineStr">
        <is>
          <t>Holmen skog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46160</v>
      </c>
      <c r="E234" s="1" t="n">
        <v>46274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46160</v>
      </c>
      <c r="E235" s="1" t="n">
        <v>46274</v>
      </c>
      <c r="F235" t="inlineStr">
        <is>
          <t>ÖSTERGÖTLANDS LÄN</t>
        </is>
      </c>
      <c r="G235" t="inlineStr">
        <is>
          <t>MOTALA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46274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46274</v>
      </c>
      <c r="F237" t="inlineStr">
        <is>
          <t>ÖSTERGÖTLANDS LÄN</t>
        </is>
      </c>
      <c r="G237" t="inlineStr">
        <is>
          <t>MOTALA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46274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46274</v>
      </c>
      <c r="F239" t="inlineStr">
        <is>
          <t>ÖSTERGÖTLANDS LÄN</t>
        </is>
      </c>
      <c r="G239" t="inlineStr">
        <is>
          <t>MOTALA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46274</v>
      </c>
      <c r="F240" t="inlineStr">
        <is>
          <t>ÖSTERGÖTLANDS LÄN</t>
        </is>
      </c>
      <c r="G240" t="inlineStr">
        <is>
          <t>MOTALA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46274</v>
      </c>
      <c r="F241" t="inlineStr">
        <is>
          <t>ÖSTERGÖTLANDS LÄN</t>
        </is>
      </c>
      <c r="G241" t="inlineStr">
        <is>
          <t>MOTALA</t>
        </is>
      </c>
      <c r="H241" t="inlineStr">
        <is>
          <t>Holmen skog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46274</v>
      </c>
      <c r="F242" t="inlineStr">
        <is>
          <t>ÖSTERGÖTLANDS LÄN</t>
        </is>
      </c>
      <c r="G242" t="inlineStr">
        <is>
          <t>MOTALA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46274</v>
      </c>
      <c r="F243" t="inlineStr">
        <is>
          <t>ÖSTERGÖTLANDS LÄN</t>
        </is>
      </c>
      <c r="G243" t="inlineStr">
        <is>
          <t>MOTALA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46274</v>
      </c>
      <c r="F244" t="inlineStr">
        <is>
          <t>ÖSTERGÖTLANDS LÄN</t>
        </is>
      </c>
      <c r="G244" t="inlineStr">
        <is>
          <t>MOTALA</t>
        </is>
      </c>
      <c r="H244" t="inlineStr">
        <is>
          <t>Övriga statliga verk och myndigheter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45484</v>
      </c>
      <c r="E245" s="1" t="n">
        <v>46274</v>
      </c>
      <c r="F245" t="inlineStr">
        <is>
          <t>ÖSTERGÖTLANDS LÄN</t>
        </is>
      </c>
      <c r="G245" t="inlineStr">
        <is>
          <t>MOTALA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71205-2021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44539</v>
      </c>
      <c r="E246" s="1" t="n">
        <v>46274</v>
      </c>
      <c r="F246" t="inlineStr">
        <is>
          <t>ÖSTERGÖTLANDS LÄN</t>
        </is>
      </c>
      <c r="G246" t="inlineStr">
        <is>
          <t>MOTALA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46274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46274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44748</v>
      </c>
      <c r="E249" s="1" t="n">
        <v>46274</v>
      </c>
      <c r="F249" t="inlineStr">
        <is>
          <t>ÖSTERGÖTLANDS LÄN</t>
        </is>
      </c>
      <c r="G249" t="inlineStr">
        <is>
          <t>MOTALA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46274</v>
      </c>
      <c r="F250" t="inlineStr">
        <is>
          <t>ÖSTERGÖTLANDS LÄN</t>
        </is>
      </c>
      <c r="G250" t="inlineStr">
        <is>
          <t>MOTALA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46274</v>
      </c>
      <c r="F251" t="inlineStr">
        <is>
          <t>ÖSTERGÖTLANDS LÄN</t>
        </is>
      </c>
      <c r="G251" t="inlineStr">
        <is>
          <t>MOTALA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46274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46274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44725</v>
      </c>
      <c r="E254" s="1" t="n">
        <v>46274</v>
      </c>
      <c r="F254" t="inlineStr">
        <is>
          <t>ÖSTERGÖTLANDS LÄN</t>
        </is>
      </c>
      <c r="G254" t="inlineStr">
        <is>
          <t>MOTALA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46274</v>
      </c>
      <c r="F255" t="inlineStr">
        <is>
          <t>ÖSTERGÖTLANDS LÄN</t>
        </is>
      </c>
      <c r="G255" t="inlineStr">
        <is>
          <t>MOTALA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45427</v>
      </c>
      <c r="E256" s="1" t="n">
        <v>46274</v>
      </c>
      <c r="F256" t="inlineStr">
        <is>
          <t>ÖSTERGÖTLANDS LÄN</t>
        </is>
      </c>
      <c r="G256" t="inlineStr">
        <is>
          <t>MOTALA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46274</v>
      </c>
      <c r="F257" t="inlineStr">
        <is>
          <t>ÖSTERGÖTLANDS LÄN</t>
        </is>
      </c>
      <c r="G257" t="inlineStr">
        <is>
          <t>MOTALA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46274</v>
      </c>
      <c r="F258" t="inlineStr">
        <is>
          <t>ÖSTERGÖTLANDS LÄN</t>
        </is>
      </c>
      <c r="G258" t="inlineStr">
        <is>
          <t>MOTALA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46274</v>
      </c>
      <c r="F259" t="inlineStr">
        <is>
          <t>ÖSTERGÖTLANDS LÄN</t>
        </is>
      </c>
      <c r="G259" t="inlineStr">
        <is>
          <t>MOTALA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45998</v>
      </c>
      <c r="E260" s="1" t="n">
        <v>46274</v>
      </c>
      <c r="F260" t="inlineStr">
        <is>
          <t>ÖSTERGÖTLANDS LÄN</t>
        </is>
      </c>
      <c r="G260" t="inlineStr">
        <is>
          <t>MOTALA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46274</v>
      </c>
      <c r="F261" t="inlineStr">
        <is>
          <t>ÖSTERGÖTLANDS LÄN</t>
        </is>
      </c>
      <c r="G261" t="inlineStr">
        <is>
          <t>MOTALA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46274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46274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46274</v>
      </c>
      <c r="F264" t="inlineStr">
        <is>
          <t>ÖSTERGÖTLANDS LÄN</t>
        </is>
      </c>
      <c r="G264" t="inlineStr">
        <is>
          <t>MOTALA</t>
        </is>
      </c>
      <c r="H264" t="inlineStr">
        <is>
          <t>Allmännings- och besparingsskogar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46274</v>
      </c>
      <c r="F265" t="inlineStr">
        <is>
          <t>ÖSTERGÖTLANDS LÄN</t>
        </is>
      </c>
      <c r="G265" t="inlineStr">
        <is>
          <t>MOTALA</t>
        </is>
      </c>
      <c r="I265" t="n">
        <v>10.8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23757-2025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45793</v>
      </c>
      <c r="E266" s="1" t="n">
        <v>46274</v>
      </c>
      <c r="F266" t="inlineStr">
        <is>
          <t>ÖSTERGÖTLANDS LÄN</t>
        </is>
      </c>
      <c r="G266" t="inlineStr">
        <is>
          <t>MOTALA</t>
        </is>
      </c>
      <c r="H266" t="inlineStr">
        <is>
          <t>Allmännings- och besparingsskogar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46274</v>
      </c>
      <c r="F267" t="inlineStr">
        <is>
          <t>ÖSTERGÖTLANDS LÄN</t>
        </is>
      </c>
      <c r="G267" t="inlineStr">
        <is>
          <t>MOTALA</t>
        </is>
      </c>
      <c r="H267" t="inlineStr">
        <is>
          <t>Allmännings- och besparingsskogar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46274</v>
      </c>
      <c r="F268" t="inlineStr">
        <is>
          <t>ÖSTERGÖTLANDS LÄN</t>
        </is>
      </c>
      <c r="G268" t="inlineStr">
        <is>
          <t>MOTALA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56325-2024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45624</v>
      </c>
      <c r="E269" s="1" t="n">
        <v>46274</v>
      </c>
      <c r="F269" t="inlineStr">
        <is>
          <t>ÖSTERGÖTLANDS LÄN</t>
        </is>
      </c>
      <c r="G269" t="inlineStr">
        <is>
          <t>MOTALA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65566-2021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46274</v>
      </c>
      <c r="F270" t="inlineStr">
        <is>
          <t>ÖSTERGÖTLANDS LÄN</t>
        </is>
      </c>
      <c r="G270" t="inlineStr">
        <is>
          <t>MOTALA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46274</v>
      </c>
      <c r="F271" t="inlineStr">
        <is>
          <t>ÖSTERGÖTLANDS LÄN</t>
        </is>
      </c>
      <c r="G271" t="inlineStr">
        <is>
          <t>MOTALA</t>
        </is>
      </c>
      <c r="H271" t="inlineStr">
        <is>
          <t>Allmännings- och besparingsskogar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46274</v>
      </c>
      <c r="F272" t="inlineStr">
        <is>
          <t>ÖSTERGÖTLANDS LÄN</t>
        </is>
      </c>
      <c r="G272" t="inlineStr">
        <is>
          <t>MOTALA</t>
        </is>
      </c>
      <c r="H272" t="inlineStr">
        <is>
          <t>Allmännings- och besparingsskogar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46274</v>
      </c>
      <c r="F273" t="inlineStr">
        <is>
          <t>ÖSTERGÖTLANDS LÄN</t>
        </is>
      </c>
      <c r="G273" t="inlineStr">
        <is>
          <t>MOTALA</t>
        </is>
      </c>
      <c r="H273" t="inlineStr">
        <is>
          <t>Allmännings- och besparingsskogar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28700-2026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46274</v>
      </c>
      <c r="F274" t="inlineStr">
        <is>
          <t>ÖSTERGÖTLANDS LÄN</t>
        </is>
      </c>
      <c r="G274" t="inlineStr">
        <is>
          <t>MOTALA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46274</v>
      </c>
      <c r="F275" t="inlineStr">
        <is>
          <t>ÖSTERGÖTLANDS LÄN</t>
        </is>
      </c>
      <c r="G275" t="inlineStr">
        <is>
          <t>MOTALA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46274</v>
      </c>
      <c r="F276" t="inlineStr">
        <is>
          <t>ÖSTERGÖTLANDS LÄN</t>
        </is>
      </c>
      <c r="G276" t="inlineStr">
        <is>
          <t>MOTALA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46274</v>
      </c>
      <c r="F277" t="inlineStr">
        <is>
          <t>ÖSTERGÖTLANDS LÄN</t>
        </is>
      </c>
      <c r="G277" t="inlineStr">
        <is>
          <t>MOTALA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46243</v>
      </c>
      <c r="E278" s="1" t="n">
        <v>46274</v>
      </c>
      <c r="F278" t="inlineStr">
        <is>
          <t>ÖSTERGÖTLANDS LÄN</t>
        </is>
      </c>
      <c r="G278" t="inlineStr">
        <is>
          <t>MOTALA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49249-2023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46274</v>
      </c>
      <c r="F279" t="inlineStr">
        <is>
          <t>ÖSTERGÖTLANDS LÄN</t>
        </is>
      </c>
      <c r="G279" t="inlineStr">
        <is>
          <t>MOTALA</t>
        </is>
      </c>
      <c r="H279" t="inlineStr">
        <is>
          <t>Övriga statliga verk och myndigheter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46274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29736-2026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46204</v>
      </c>
      <c r="E281" s="1" t="n">
        <v>46274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44676</v>
      </c>
      <c r="E282" s="1" t="n">
        <v>46274</v>
      </c>
      <c r="F282" t="inlineStr">
        <is>
          <t>ÖSTERGÖTLANDS LÄN</t>
        </is>
      </c>
      <c r="G282" t="inlineStr">
        <is>
          <t>MOTALA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44613</v>
      </c>
      <c r="E283" s="1" t="n">
        <v>46274</v>
      </c>
      <c r="F283" t="inlineStr">
        <is>
          <t>ÖSTERGÖTLANDS LÄN</t>
        </is>
      </c>
      <c r="G283" t="inlineStr">
        <is>
          <t>MOTALA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46274</v>
      </c>
      <c r="F284" t="inlineStr">
        <is>
          <t>ÖSTERGÖTLANDS LÄN</t>
        </is>
      </c>
      <c r="G284" t="inlineStr">
        <is>
          <t>MOTALA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46274</v>
      </c>
      <c r="F285" t="inlineStr">
        <is>
          <t>ÖSTERGÖTLANDS LÄN</t>
        </is>
      </c>
      <c r="G285" t="inlineStr">
        <is>
          <t>MOTALA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46274</v>
      </c>
      <c r="F286" t="inlineStr">
        <is>
          <t>ÖSTERGÖTLANDS LÄN</t>
        </is>
      </c>
      <c r="G286" t="inlineStr">
        <is>
          <t>MOTALA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46274</v>
      </c>
      <c r="F287" t="inlineStr">
        <is>
          <t>ÖSTERGÖTLANDS LÄN</t>
        </is>
      </c>
      <c r="G287" t="inlineStr">
        <is>
          <t>MOTALA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46274</v>
      </c>
      <c r="F288" t="inlineStr">
        <is>
          <t>ÖSTERGÖTLANDS LÄN</t>
        </is>
      </c>
      <c r="G288" t="inlineStr">
        <is>
          <t>MOTALA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46274</v>
      </c>
      <c r="F289" t="inlineStr">
        <is>
          <t>ÖSTERGÖTLANDS LÄN</t>
        </is>
      </c>
      <c r="G289" t="inlineStr">
        <is>
          <t>MOTALA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46274</v>
      </c>
      <c r="F290" t="inlineStr">
        <is>
          <t>ÖSTERGÖTLANDS LÄN</t>
        </is>
      </c>
      <c r="G290" t="inlineStr">
        <is>
          <t>MOTALA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46274</v>
      </c>
      <c r="F291" t="inlineStr">
        <is>
          <t>ÖSTERGÖTLANDS LÄN</t>
        </is>
      </c>
      <c r="G291" t="inlineStr">
        <is>
          <t>MOTALA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46274</v>
      </c>
      <c r="F292" t="inlineStr">
        <is>
          <t>ÖSTERGÖTLANDS LÄN</t>
        </is>
      </c>
      <c r="G292" t="inlineStr">
        <is>
          <t>MOTALA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46061</v>
      </c>
      <c r="E293" s="1" t="n">
        <v>46274</v>
      </c>
      <c r="F293" t="inlineStr">
        <is>
          <t>ÖSTERGÖTLANDS LÄN</t>
        </is>
      </c>
      <c r="G293" t="inlineStr">
        <is>
          <t>MOTALA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46274</v>
      </c>
      <c r="F294" t="inlineStr">
        <is>
          <t>ÖSTERGÖTLANDS LÄN</t>
        </is>
      </c>
      <c r="G294" t="inlineStr">
        <is>
          <t>MOTALA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46274</v>
      </c>
      <c r="F295" t="inlineStr">
        <is>
          <t>ÖSTERGÖTLANDS LÄN</t>
        </is>
      </c>
      <c r="G295" t="inlineStr">
        <is>
          <t>MOTALA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46274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46274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46274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46274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46274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46274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46274</v>
      </c>
      <c r="F302" t="inlineStr">
        <is>
          <t>ÖSTERGÖTLANDS LÄN</t>
        </is>
      </c>
      <c r="G302" t="inlineStr">
        <is>
          <t>MOTALA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46274</v>
      </c>
      <c r="F303" t="inlineStr">
        <is>
          <t>ÖSTERGÖTLANDS LÄN</t>
        </is>
      </c>
      <c r="G303" t="inlineStr">
        <is>
          <t>MOTALA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46274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46255</v>
      </c>
      <c r="E305" s="1" t="n">
        <v>46274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46255</v>
      </c>
      <c r="E306" s="1" t="n">
        <v>46274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46255</v>
      </c>
      <c r="E307" s="1" t="n">
        <v>46274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46255</v>
      </c>
      <c r="E308" s="1" t="n">
        <v>46274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46274</v>
      </c>
      <c r="F309" t="inlineStr">
        <is>
          <t>ÖSTERGÖTLANDS LÄN</t>
        </is>
      </c>
      <c r="G309" t="inlineStr">
        <is>
          <t>MOTALA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46274</v>
      </c>
      <c r="F310" t="inlineStr">
        <is>
          <t>ÖSTERGÖTLANDS LÄN</t>
        </is>
      </c>
      <c r="G310" t="inlineStr">
        <is>
          <t>MOTALA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10510-2026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46077</v>
      </c>
      <c r="E311" s="1" t="n">
        <v>46274</v>
      </c>
      <c r="F311" t="inlineStr">
        <is>
          <t>ÖSTERGÖTLANDS LÄN</t>
        </is>
      </c>
      <c r="G311" t="inlineStr">
        <is>
          <t>MOTALA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46274</v>
      </c>
      <c r="F312" t="inlineStr">
        <is>
          <t>ÖSTERGÖTLANDS LÄN</t>
        </is>
      </c>
      <c r="G312" t="inlineStr">
        <is>
          <t>MOTALA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46274</v>
      </c>
      <c r="F313" t="inlineStr">
        <is>
          <t>ÖSTERGÖTLANDS LÄN</t>
        </is>
      </c>
      <c r="G313" t="inlineStr">
        <is>
          <t>MOTALA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45602</v>
      </c>
      <c r="E314" s="1" t="n">
        <v>46274</v>
      </c>
      <c r="F314" t="inlineStr">
        <is>
          <t>ÖSTERGÖTLANDS LÄN</t>
        </is>
      </c>
      <c r="G314" t="inlineStr">
        <is>
          <t>MOTALA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46274</v>
      </c>
      <c r="F315" t="inlineStr">
        <is>
          <t>ÖSTERGÖTLANDS LÄN</t>
        </is>
      </c>
      <c r="G315" t="inlineStr">
        <is>
          <t>MOTALA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46274</v>
      </c>
      <c r="F316" t="inlineStr">
        <is>
          <t>ÖSTERGÖTLANDS LÄN</t>
        </is>
      </c>
      <c r="G316" t="inlineStr">
        <is>
          <t>MOTALA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46274</v>
      </c>
      <c r="F317" t="inlineStr">
        <is>
          <t>ÖSTERGÖTLANDS LÄN</t>
        </is>
      </c>
      <c r="G317" t="inlineStr">
        <is>
          <t>MOTALA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46274</v>
      </c>
      <c r="F318" t="inlineStr">
        <is>
          <t>ÖSTERGÖTLANDS LÄN</t>
        </is>
      </c>
      <c r="G318" t="inlineStr">
        <is>
          <t>MOTALA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52302-2023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45224</v>
      </c>
      <c r="E319" s="1" t="n">
        <v>46274</v>
      </c>
      <c r="F319" t="inlineStr">
        <is>
          <t>ÖSTERGÖTLANDS LÄN</t>
        </is>
      </c>
      <c r="G319" t="inlineStr">
        <is>
          <t>MOTALA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46274</v>
      </c>
      <c r="F320" t="inlineStr">
        <is>
          <t>ÖSTERGÖTLANDS LÄN</t>
        </is>
      </c>
      <c r="G320" t="inlineStr">
        <is>
          <t>MOTALA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45428</v>
      </c>
      <c r="E321" s="1" t="n">
        <v>46274</v>
      </c>
      <c r="F321" t="inlineStr">
        <is>
          <t>ÖSTERGÖTLANDS LÄN</t>
        </is>
      </c>
      <c r="G321" t="inlineStr">
        <is>
          <t>MOTALA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46274</v>
      </c>
      <c r="F322" t="inlineStr">
        <is>
          <t>ÖSTERGÖTLANDS LÄN</t>
        </is>
      </c>
      <c r="G322" t="inlineStr">
        <is>
          <t>MOTALA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46274</v>
      </c>
      <c r="F323" t="inlineStr">
        <is>
          <t>ÖSTERGÖTLANDS LÄN</t>
        </is>
      </c>
      <c r="G323" t="inlineStr">
        <is>
          <t>MOTALA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46218</v>
      </c>
      <c r="E324" s="1" t="n">
        <v>46274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46218</v>
      </c>
      <c r="E325" s="1" t="n">
        <v>46274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46274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46274</v>
      </c>
      <c r="F327" t="inlineStr">
        <is>
          <t>ÖSTERGÖTLANDS LÄN</t>
        </is>
      </c>
      <c r="G327" t="inlineStr">
        <is>
          <t>MOTALA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31297-2026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46218</v>
      </c>
      <c r="E328" s="1" t="n">
        <v>46274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46274</v>
      </c>
      <c r="F329" t="inlineStr">
        <is>
          <t>ÖSTERGÖTLANDS LÄN</t>
        </is>
      </c>
      <c r="G329" t="inlineStr">
        <is>
          <t>MOTALA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46274</v>
      </c>
      <c r="F330" t="inlineStr">
        <is>
          <t>ÖSTERGÖTLANDS LÄN</t>
        </is>
      </c>
      <c r="G330" t="inlineStr">
        <is>
          <t>MOTALA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46274</v>
      </c>
      <c r="F331" t="inlineStr">
        <is>
          <t>ÖSTERGÖTLANDS LÄN</t>
        </is>
      </c>
      <c r="G331" t="inlineStr">
        <is>
          <t>MOTALA</t>
        </is>
      </c>
      <c r="H331" t="inlineStr">
        <is>
          <t>Övriga statliga verk och myndigheter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12968-2026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46092</v>
      </c>
      <c r="E332" s="1" t="n">
        <v>46274</v>
      </c>
      <c r="F332" t="inlineStr">
        <is>
          <t>ÖSTERGÖTLANDS LÄN</t>
        </is>
      </c>
      <c r="G332" t="inlineStr">
        <is>
          <t>MOTALA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46274</v>
      </c>
      <c r="F333" t="inlineStr">
        <is>
          <t>ÖSTERGÖTLANDS LÄN</t>
        </is>
      </c>
      <c r="G333" t="inlineStr">
        <is>
          <t>MOTALA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46259</v>
      </c>
      <c r="E334" s="1" t="n">
        <v>46274</v>
      </c>
      <c r="F334" t="inlineStr">
        <is>
          <t>ÖSTERGÖTLANDS LÄN</t>
        </is>
      </c>
      <c r="G334" t="inlineStr">
        <is>
          <t>MOTALA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46274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46274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46274</v>
      </c>
      <c r="F337" t="inlineStr">
        <is>
          <t>ÖSTERGÖTLANDS LÄN</t>
        </is>
      </c>
      <c r="G337" t="inlineStr">
        <is>
          <t>MOTALA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64175-2023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45279</v>
      </c>
      <c r="E338" s="1" t="n">
        <v>46274</v>
      </c>
      <c r="F338" t="inlineStr">
        <is>
          <t>ÖSTERGÖTLANDS LÄN</t>
        </is>
      </c>
      <c r="G338" t="inlineStr">
        <is>
          <t>MOTALA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46274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46274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46274</v>
      </c>
      <c r="F341" t="inlineStr">
        <is>
          <t>ÖSTERGÖTLANDS LÄN</t>
        </is>
      </c>
      <c r="G341" t="inlineStr">
        <is>
          <t>MOTALA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46274</v>
      </c>
      <c r="F342" t="inlineStr">
        <is>
          <t>ÖSTERGÖTLANDS LÄN</t>
        </is>
      </c>
      <c r="G342" t="inlineStr">
        <is>
          <t>MOTALA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46274</v>
      </c>
      <c r="F343" t="inlineStr">
        <is>
          <t>ÖSTERGÖTLANDS LÄN</t>
        </is>
      </c>
      <c r="G343" t="inlineStr">
        <is>
          <t>MOTALA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46100</v>
      </c>
      <c r="E344" s="1" t="n">
        <v>46274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15551-2026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46106</v>
      </c>
      <c r="E345" s="1" t="n">
        <v>46274</v>
      </c>
      <c r="F345" t="inlineStr">
        <is>
          <t>ÖSTERGÖTLANDS LÄN</t>
        </is>
      </c>
      <c r="G345" t="inlineStr">
        <is>
          <t>MOTALA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46274</v>
      </c>
      <c r="F346" t="inlineStr">
        <is>
          <t>ÖSTERGÖTLANDS LÄN</t>
        </is>
      </c>
      <c r="G346" t="inlineStr">
        <is>
          <t>MOTALA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44819</v>
      </c>
      <c r="E347" s="1" t="n">
        <v>46274</v>
      </c>
      <c r="F347" t="inlineStr">
        <is>
          <t>ÖSTERGÖTLANDS LÄN</t>
        </is>
      </c>
      <c r="G347" t="inlineStr">
        <is>
          <t>MOTALA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15076-2026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46274</v>
      </c>
      <c r="F348" t="inlineStr">
        <is>
          <t>ÖSTERGÖTLANDS LÄN</t>
        </is>
      </c>
      <c r="G348" t="inlineStr">
        <is>
          <t>MOTALA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46274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46273</v>
      </c>
      <c r="E350" s="1" t="n">
        <v>46274</v>
      </c>
      <c r="F350" t="inlineStr">
        <is>
          <t>ÖSTERGÖTLANDS LÄN</t>
        </is>
      </c>
      <c r="G350" t="inlineStr">
        <is>
          <t>MOTALA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21048-2024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45439</v>
      </c>
      <c r="E351" s="1" t="n">
        <v>46274</v>
      </c>
      <c r="F351" t="inlineStr">
        <is>
          <t>ÖSTERGÖTLANDS LÄN</t>
        </is>
      </c>
      <c r="G351" t="inlineStr">
        <is>
          <t>MOTALA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46274</v>
      </c>
      <c r="F352" t="inlineStr">
        <is>
          <t>ÖSTERGÖTLANDS LÄN</t>
        </is>
      </c>
      <c r="G352" t="inlineStr">
        <is>
          <t>MOTALA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46274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46122</v>
      </c>
      <c r="E354" s="1" t="n">
        <v>46274</v>
      </c>
      <c r="F354" t="inlineStr">
        <is>
          <t>ÖSTERGÖTLANDS LÄN</t>
        </is>
      </c>
      <c r="G354" t="inlineStr">
        <is>
          <t>MOTALA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45562</v>
      </c>
      <c r="E355" s="1" t="n">
        <v>46274</v>
      </c>
      <c r="F355" t="inlineStr">
        <is>
          <t>ÖSTERGÖTLANDS LÄN</t>
        </is>
      </c>
      <c r="G355" t="inlineStr">
        <is>
          <t>MOTALA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62556-2021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44503</v>
      </c>
      <c r="E356" s="1" t="n">
        <v>46274</v>
      </c>
      <c r="F356" t="inlineStr">
        <is>
          <t>ÖSTERGÖTLANDS LÄN</t>
        </is>
      </c>
      <c r="G356" t="inlineStr">
        <is>
          <t>MOTALA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45034</v>
      </c>
      <c r="E357" s="1" t="n">
        <v>46274</v>
      </c>
      <c r="F357" t="inlineStr">
        <is>
          <t>ÖSTERGÖTLANDS LÄN</t>
        </is>
      </c>
      <c r="G357" t="inlineStr">
        <is>
          <t>MOTALA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41944-2022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44830</v>
      </c>
      <c r="E358" s="1" t="n">
        <v>46274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46132</v>
      </c>
      <c r="E359" s="1" t="n">
        <v>46274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46274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21527-2023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45061</v>
      </c>
      <c r="E361" s="1" t="n">
        <v>46274</v>
      </c>
      <c r="F361" t="inlineStr">
        <is>
          <t>ÖSTERGÖTLANDS LÄN</t>
        </is>
      </c>
      <c r="G361" t="inlineStr">
        <is>
          <t>MOTALA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46274</v>
      </c>
      <c r="F362" t="inlineStr">
        <is>
          <t>ÖSTERGÖTLANDS LÄN</t>
        </is>
      </c>
      <c r="G362" t="inlineStr">
        <is>
          <t>MOTALA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46274</v>
      </c>
      <c r="F363" t="inlineStr">
        <is>
          <t>ÖSTERGÖTLANDS LÄN</t>
        </is>
      </c>
      <c r="G363" t="inlineStr">
        <is>
          <t>MOTALA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45351</v>
      </c>
      <c r="E364" s="1" t="n">
        <v>46274</v>
      </c>
      <c r="F364" t="inlineStr">
        <is>
          <t>ÖSTERGÖTLANDS LÄN</t>
        </is>
      </c>
      <c r="G364" t="inlineStr">
        <is>
          <t>MOTALA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45473</v>
      </c>
      <c r="E365" s="1" t="n">
        <v>46274</v>
      </c>
      <c r="F365" t="inlineStr">
        <is>
          <t>ÖSTERGÖTLANDS LÄN</t>
        </is>
      </c>
      <c r="G365" t="inlineStr">
        <is>
          <t>MOTALA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46274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46274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18924-2024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45427</v>
      </c>
      <c r="E368" s="1" t="n">
        <v>46274</v>
      </c>
      <c r="F368" t="inlineStr">
        <is>
          <t>ÖSTERGÖTLANDS LÄN</t>
        </is>
      </c>
      <c r="G368" t="inlineStr">
        <is>
          <t>MOTALA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21204-2024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45440</v>
      </c>
      <c r="E369" s="1" t="n">
        <v>46274</v>
      </c>
      <c r="F369" t="inlineStr">
        <is>
          <t>ÖSTERGÖTLANDS LÄN</t>
        </is>
      </c>
      <c r="G369" t="inlineStr">
        <is>
          <t>MOTALA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44637</v>
      </c>
      <c r="E370" s="1" t="n">
        <v>46274</v>
      </c>
      <c r="F370" t="inlineStr">
        <is>
          <t>ÖSTERGÖTLANDS LÄN</t>
        </is>
      </c>
      <c r="G370" t="inlineStr">
        <is>
          <t>MOTALA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46274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46274</v>
      </c>
      <c r="F372" t="inlineStr">
        <is>
          <t>ÖSTERGÖTLANDS LÄN</t>
        </is>
      </c>
      <c r="G372" t="inlineStr">
        <is>
          <t>MOTALA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44608</v>
      </c>
      <c r="E373" s="1" t="n">
        <v>46274</v>
      </c>
      <c r="F373" t="inlineStr">
        <is>
          <t>ÖSTERGÖTLANDS LÄN</t>
        </is>
      </c>
      <c r="G373" t="inlineStr">
        <is>
          <t>MOTALA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44608</v>
      </c>
      <c r="E374" s="1" t="n">
        <v>46274</v>
      </c>
      <c r="F374" t="inlineStr">
        <is>
          <t>ÖSTERGÖTLANDS LÄN</t>
        </is>
      </c>
      <c r="G374" t="inlineStr">
        <is>
          <t>MOTALA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47875-2021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44448</v>
      </c>
      <c r="E375" s="1" t="n">
        <v>46274</v>
      </c>
      <c r="F375" t="inlineStr">
        <is>
          <t>ÖSTERGÖTLANDS LÄN</t>
        </is>
      </c>
      <c r="G375" t="inlineStr">
        <is>
          <t>MOTALA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45378</v>
      </c>
      <c r="E376" s="1" t="n">
        <v>46274</v>
      </c>
      <c r="F376" t="inlineStr">
        <is>
          <t>ÖSTERGÖTLANDS LÄN</t>
        </is>
      </c>
      <c r="G376" t="inlineStr">
        <is>
          <t>MOTALA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24254-2022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44725</v>
      </c>
      <c r="E377" s="1" t="n">
        <v>46274</v>
      </c>
      <c r="F377" t="inlineStr">
        <is>
          <t>ÖSTERGÖTLANDS LÄN</t>
        </is>
      </c>
      <c r="G377" t="inlineStr">
        <is>
          <t>MOTALA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10324-2023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46274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45377</v>
      </c>
      <c r="E379" s="1" t="n">
        <v>46274</v>
      </c>
      <c r="F379" t="inlineStr">
        <is>
          <t>ÖSTERGÖTLANDS LÄN</t>
        </is>
      </c>
      <c r="G379" t="inlineStr">
        <is>
          <t>MOTALA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46274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46274</v>
      </c>
      <c r="F381" t="inlineStr">
        <is>
          <t>ÖSTERGÖTLANDS LÄN</t>
        </is>
      </c>
      <c r="G381" t="inlineStr">
        <is>
          <t>MOTALA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46274</v>
      </c>
      <c r="F382" t="inlineStr">
        <is>
          <t>ÖSTERGÖTLANDS LÄN</t>
        </is>
      </c>
      <c r="G382" t="inlineStr">
        <is>
          <t>MOTALA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46274</v>
      </c>
      <c r="F383" t="inlineStr">
        <is>
          <t>ÖSTERGÖTLANDS LÄN</t>
        </is>
      </c>
      <c r="G383" t="inlineStr">
        <is>
          <t>MOTALA</t>
        </is>
      </c>
      <c r="H383" t="inlineStr">
        <is>
          <t>Övriga statliga verk och myndigheter</t>
        </is>
      </c>
      <c r="I383" t="n">
        <v>25.1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46274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24.8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46274</v>
      </c>
      <c r="F385" t="inlineStr">
        <is>
          <t>ÖSTERGÖTLANDS LÄN</t>
        </is>
      </c>
      <c r="G385" t="inlineStr">
        <is>
          <t>MOTALA</t>
        </is>
      </c>
      <c r="H385" t="inlineStr">
        <is>
          <t>Kyrkan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44804</v>
      </c>
      <c r="E386" s="1" t="n">
        <v>46274</v>
      </c>
      <c r="F386" t="inlineStr">
        <is>
          <t>ÖSTERGÖTLANDS LÄN</t>
        </is>
      </c>
      <c r="G386" t="inlineStr">
        <is>
          <t>MOTALA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46274</v>
      </c>
      <c r="F387" t="inlineStr">
        <is>
          <t>ÖSTERGÖTLANDS LÄN</t>
        </is>
      </c>
      <c r="G387" t="inlineStr">
        <is>
          <t>MOTALA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65561-2021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44516</v>
      </c>
      <c r="E388" s="1" t="n">
        <v>46274</v>
      </c>
      <c r="F388" t="inlineStr">
        <is>
          <t>ÖSTERGÖTLANDS LÄN</t>
        </is>
      </c>
      <c r="G388" t="inlineStr">
        <is>
          <t>MOTALA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44782</v>
      </c>
      <c r="E389" s="1" t="n">
        <v>46274</v>
      </c>
      <c r="F389" t="inlineStr">
        <is>
          <t>ÖSTERGÖTLANDS LÄN</t>
        </is>
      </c>
      <c r="G389" t="inlineStr">
        <is>
          <t>MOTALA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44573</v>
      </c>
      <c r="E390" s="1" t="n">
        <v>46274</v>
      </c>
      <c r="F390" t="inlineStr">
        <is>
          <t>ÖSTERGÖTLANDS LÄN</t>
        </is>
      </c>
      <c r="G390" t="inlineStr">
        <is>
          <t>MOTALA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12434-2023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44999</v>
      </c>
      <c r="E391" s="1" t="n">
        <v>46274</v>
      </c>
      <c r="F391" t="inlineStr">
        <is>
          <t>ÖSTERGÖTLANDS LÄN</t>
        </is>
      </c>
      <c r="G391" t="inlineStr">
        <is>
          <t>MOTALA</t>
        </is>
      </c>
      <c r="H391" t="inlineStr">
        <is>
          <t>Allmännings- och besparingsskogar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46274</v>
      </c>
      <c r="F392" t="inlineStr">
        <is>
          <t>ÖSTERGÖTLANDS LÄN</t>
        </is>
      </c>
      <c r="G392" t="inlineStr">
        <is>
          <t>MOTALA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56867-2022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46274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45476</v>
      </c>
      <c r="E394" s="1" t="n">
        <v>46274</v>
      </c>
      <c r="F394" t="inlineStr">
        <is>
          <t>ÖSTERGÖTLANDS LÄN</t>
        </is>
      </c>
      <c r="G394" t="inlineStr">
        <is>
          <t>MOTALA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58344-2022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44893</v>
      </c>
      <c r="E395" s="1" t="n">
        <v>46274</v>
      </c>
      <c r="F395" t="inlineStr">
        <is>
          <t>ÖSTERGÖTLANDS LÄN</t>
        </is>
      </c>
      <c r="G395" t="inlineStr">
        <is>
          <t>MOTALA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16586-2023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45030</v>
      </c>
      <c r="E396" s="1" t="n">
        <v>46274</v>
      </c>
      <c r="F396" t="inlineStr">
        <is>
          <t>ÖSTERGÖTLANDS LÄN</t>
        </is>
      </c>
      <c r="G396" t="inlineStr">
        <is>
          <t>MOTALA</t>
        </is>
      </c>
      <c r="H396" t="inlineStr">
        <is>
          <t>Kyrkan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12643-2022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44641</v>
      </c>
      <c r="E397" s="1" t="n">
        <v>46274</v>
      </c>
      <c r="F397" t="inlineStr">
        <is>
          <t>ÖSTERGÖTLANDS LÄN</t>
        </is>
      </c>
      <c r="G397" t="inlineStr">
        <is>
          <t>MOTALA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60029-2021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44494</v>
      </c>
      <c r="E398" s="1" t="n">
        <v>46274</v>
      </c>
      <c r="F398" t="inlineStr">
        <is>
          <t>ÖSTERGÖTLANDS LÄN</t>
        </is>
      </c>
      <c r="G398" t="inlineStr">
        <is>
          <t>MOTALA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46274</v>
      </c>
      <c r="F399" t="inlineStr">
        <is>
          <t>ÖSTERGÖTLANDS LÄN</t>
        </is>
      </c>
      <c r="G399" t="inlineStr">
        <is>
          <t>MOTALA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46274</v>
      </c>
      <c r="F400" t="inlineStr">
        <is>
          <t>ÖSTERGÖTLANDS LÄN</t>
        </is>
      </c>
      <c r="G400" t="inlineStr">
        <is>
          <t>MOTALA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44679</v>
      </c>
      <c r="E401" s="1" t="n">
        <v>46274</v>
      </c>
      <c r="F401" t="inlineStr">
        <is>
          <t>ÖSTERGÖTLANDS LÄN</t>
        </is>
      </c>
      <c r="G401" t="inlineStr">
        <is>
          <t>MOTALA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44776</v>
      </c>
      <c r="E402" s="1" t="n">
        <v>46274</v>
      </c>
      <c r="F402" t="inlineStr">
        <is>
          <t>ÖSTERGÖTLANDS LÄN</t>
        </is>
      </c>
      <c r="G402" t="inlineStr">
        <is>
          <t>MOTALA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53322-2023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46274</v>
      </c>
      <c r="F403" t="inlineStr">
        <is>
          <t>ÖSTERGÖTLANDS LÄN</t>
        </is>
      </c>
      <c r="G403" t="inlineStr">
        <is>
          <t>MOTALA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46274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46274</v>
      </c>
      <c r="F405" t="inlineStr">
        <is>
          <t>ÖSTERGÖTLANDS LÄN</t>
        </is>
      </c>
      <c r="G405" t="inlineStr">
        <is>
          <t>MOTALA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44725</v>
      </c>
      <c r="E406" s="1" t="n">
        <v>46274</v>
      </c>
      <c r="F406" t="inlineStr">
        <is>
          <t>ÖSTERGÖTLANDS LÄN</t>
        </is>
      </c>
      <c r="G406" t="inlineStr">
        <is>
          <t>MOTALA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44819</v>
      </c>
      <c r="E407" s="1" t="n">
        <v>46274</v>
      </c>
      <c r="F407" t="inlineStr">
        <is>
          <t>ÖSTERGÖTLANDS LÄN</t>
        </is>
      </c>
      <c r="G407" t="inlineStr">
        <is>
          <t>MOTALA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44830</v>
      </c>
      <c r="E408" s="1" t="n">
        <v>46274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41898-2022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44830</v>
      </c>
      <c r="E409" s="1" t="n">
        <v>46274</v>
      </c>
      <c r="F409" t="inlineStr">
        <is>
          <t>ÖSTERGÖTLANDS LÄN</t>
        </is>
      </c>
      <c r="G409" t="inlineStr">
        <is>
          <t>MOTALA</t>
        </is>
      </c>
      <c r="H409" t="inlineStr">
        <is>
          <t>Sveaskog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46274</v>
      </c>
      <c r="F410" t="inlineStr">
        <is>
          <t>ÖSTERGÖTLANDS LÄN</t>
        </is>
      </c>
      <c r="G410" t="inlineStr">
        <is>
          <t>MOTALA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44931</v>
      </c>
      <c r="E411" s="1" t="n">
        <v>46274</v>
      </c>
      <c r="F411" t="inlineStr">
        <is>
          <t>ÖSTERGÖTLANDS LÄN</t>
        </is>
      </c>
      <c r="G411" t="inlineStr">
        <is>
          <t>MOTALA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7034-2024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46274</v>
      </c>
      <c r="F412" t="inlineStr">
        <is>
          <t>ÖSTERGÖTLANDS LÄN</t>
        </is>
      </c>
      <c r="G412" t="inlineStr">
        <is>
          <t>MOTALA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45091</v>
      </c>
      <c r="E413" s="1" t="n">
        <v>46274</v>
      </c>
      <c r="F413" t="inlineStr">
        <is>
          <t>ÖSTERGÖTLANDS LÄN</t>
        </is>
      </c>
      <c r="G413" t="inlineStr">
        <is>
          <t>MOTALA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59570-2022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44907</v>
      </c>
      <c r="E414" s="1" t="n">
        <v>46274</v>
      </c>
      <c r="F414" t="inlineStr">
        <is>
          <t>ÖSTERGÖTLANDS LÄN</t>
        </is>
      </c>
      <c r="G414" t="inlineStr">
        <is>
          <t>MOTALA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46274</v>
      </c>
      <c r="F415" t="inlineStr">
        <is>
          <t>ÖSTERGÖTLANDS LÄN</t>
        </is>
      </c>
      <c r="G415" t="inlineStr">
        <is>
          <t>MOTALA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21309-2025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45781</v>
      </c>
      <c r="E416" s="1" t="n">
        <v>46274</v>
      </c>
      <c r="F416" t="inlineStr">
        <is>
          <t>ÖSTERGÖTLANDS LÄN</t>
        </is>
      </c>
      <c r="G416" t="inlineStr">
        <is>
          <t>MOTALA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45708</v>
      </c>
      <c r="E417" s="1" t="n">
        <v>46274</v>
      </c>
      <c r="F417" t="inlineStr">
        <is>
          <t>ÖSTERGÖTLANDS LÄN</t>
        </is>
      </c>
      <c r="G417" t="inlineStr">
        <is>
          <t>MOTALA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46274</v>
      </c>
      <c r="F418" t="inlineStr">
        <is>
          <t>ÖSTERGÖTLANDS LÄN</t>
        </is>
      </c>
      <c r="G418" t="inlineStr">
        <is>
          <t>MOTALA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44903</v>
      </c>
      <c r="E419" s="1" t="n">
        <v>46274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37.7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46274</v>
      </c>
      <c r="F420" t="inlineStr">
        <is>
          <t>ÖSTERGÖTLANDS LÄN</t>
        </is>
      </c>
      <c r="G420" t="inlineStr">
        <is>
          <t>MOTALA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46274</v>
      </c>
      <c r="F421" t="inlineStr">
        <is>
          <t>ÖSTERGÖTLANDS LÄN</t>
        </is>
      </c>
      <c r="G421" t="inlineStr">
        <is>
          <t>MOTALA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51728-2024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46274</v>
      </c>
      <c r="F422" t="inlineStr">
        <is>
          <t>ÖSTERGÖTLANDS LÄN</t>
        </is>
      </c>
      <c r="G422" t="inlineStr">
        <is>
          <t>MOTALA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45222</v>
      </c>
      <c r="E423" s="1" t="n">
        <v>46274</v>
      </c>
      <c r="F423" t="inlineStr">
        <is>
          <t>ÖSTERGÖTLANDS LÄN</t>
        </is>
      </c>
      <c r="G423" t="inlineStr">
        <is>
          <t>MOTALA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45666</v>
      </c>
      <c r="E424" s="1" t="n">
        <v>46274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38881-2024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45547</v>
      </c>
      <c r="E425" s="1" t="n">
        <v>46274</v>
      </c>
      <c r="F425" t="inlineStr">
        <is>
          <t>ÖSTERGÖTLANDS LÄN</t>
        </is>
      </c>
      <c r="G425" t="inlineStr">
        <is>
          <t>MOTALA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57506-2024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46274</v>
      </c>
      <c r="F426" t="inlineStr">
        <is>
          <t>ÖSTERGÖTLANDS LÄN</t>
        </is>
      </c>
      <c r="G426" t="inlineStr">
        <is>
          <t>MOTALA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60669-2024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45644</v>
      </c>
      <c r="E427" s="1" t="n">
        <v>46274</v>
      </c>
      <c r="F427" t="inlineStr">
        <is>
          <t>ÖSTERGÖTLANDS LÄN</t>
        </is>
      </c>
      <c r="G427" t="inlineStr">
        <is>
          <t>MOTALA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45630</v>
      </c>
      <c r="E428" s="1" t="n">
        <v>46274</v>
      </c>
      <c r="F428" t="inlineStr">
        <is>
          <t>ÖSTERGÖTLANDS LÄN</t>
        </is>
      </c>
      <c r="G428" t="inlineStr">
        <is>
          <t>MOTALA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45689</v>
      </c>
      <c r="E429" s="1" t="n">
        <v>46274</v>
      </c>
      <c r="F429" t="inlineStr">
        <is>
          <t>ÖSTERGÖTLANDS LÄN</t>
        </is>
      </c>
      <c r="G429" t="inlineStr">
        <is>
          <t>MOTALA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46274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46274</v>
      </c>
      <c r="F431" t="inlineStr">
        <is>
          <t>ÖSTERGÖTLANDS LÄN</t>
        </is>
      </c>
      <c r="G431" t="inlineStr">
        <is>
          <t>MOTALA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46274</v>
      </c>
      <c r="F432" t="inlineStr">
        <is>
          <t>ÖSTERGÖTLANDS LÄN</t>
        </is>
      </c>
      <c r="G432" t="inlineStr">
        <is>
          <t>MOTALA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46274</v>
      </c>
      <c r="F433" t="inlineStr">
        <is>
          <t>ÖSTERGÖTLANDS LÄN</t>
        </is>
      </c>
      <c r="G433" t="inlineStr">
        <is>
          <t>MOTALA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30640-2025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45831</v>
      </c>
      <c r="E434" s="1" t="n">
        <v>46274</v>
      </c>
      <c r="F434" t="inlineStr">
        <is>
          <t>ÖSTERGÖTLANDS LÄN</t>
        </is>
      </c>
      <c r="G434" t="inlineStr">
        <is>
          <t>MOTALA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46274</v>
      </c>
      <c r="F435" t="inlineStr">
        <is>
          <t>ÖSTERGÖTLANDS LÄN</t>
        </is>
      </c>
      <c r="G435" t="inlineStr">
        <is>
          <t>MOTALA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27896-2025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45817</v>
      </c>
      <c r="E436" s="1" t="n">
        <v>46274</v>
      </c>
      <c r="F436" t="inlineStr">
        <is>
          <t>ÖSTERGÖTLANDS LÄN</t>
        </is>
      </c>
      <c r="G436" t="inlineStr">
        <is>
          <t>MOTALA</t>
        </is>
      </c>
      <c r="I436" t="n">
        <v>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46274</v>
      </c>
      <c r="F437" t="inlineStr">
        <is>
          <t>ÖSTERGÖTLANDS LÄN</t>
        </is>
      </c>
      <c r="G437" t="inlineStr">
        <is>
          <t>MOTALA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44861-2024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45575</v>
      </c>
      <c r="E438" s="1" t="n">
        <v>46274</v>
      </c>
      <c r="F438" t="inlineStr">
        <is>
          <t>ÖSTERGÖTLANDS LÄN</t>
        </is>
      </c>
      <c r="G438" t="inlineStr">
        <is>
          <t>MOTALA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46274</v>
      </c>
      <c r="F439" t="inlineStr">
        <is>
          <t>ÖSTERGÖTLANDS LÄN</t>
        </is>
      </c>
      <c r="G439" t="inlineStr">
        <is>
          <t>MOTALA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45805</v>
      </c>
      <c r="E440" s="1" t="n">
        <v>46274</v>
      </c>
      <c r="F440" t="inlineStr">
        <is>
          <t>ÖSTERGÖTLANDS LÄN</t>
        </is>
      </c>
      <c r="G440" t="inlineStr">
        <is>
          <t>MOTALA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46274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3262-2024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45526</v>
      </c>
      <c r="E442" s="1" t="n">
        <v>46274</v>
      </c>
      <c r="F442" t="inlineStr">
        <is>
          <t>ÖSTERGÖTLANDS LÄN</t>
        </is>
      </c>
      <c r="G442" t="inlineStr">
        <is>
          <t>MOTALA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3481-2023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45205</v>
      </c>
      <c r="E443" s="1" t="n">
        <v>46274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2511-2024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45474</v>
      </c>
      <c r="E444" s="1" t="n">
        <v>46274</v>
      </c>
      <c r="F444" t="inlineStr">
        <is>
          <t>ÖSTERGÖTLANDS LÄN</t>
        </is>
      </c>
      <c r="G444" t="inlineStr">
        <is>
          <t>MOTALA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2535-2024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45475</v>
      </c>
      <c r="E445" s="1" t="n">
        <v>46274</v>
      </c>
      <c r="F445" t="inlineStr">
        <is>
          <t>ÖSTERGÖTLANDS LÄN</t>
        </is>
      </c>
      <c r="G445" t="inlineStr">
        <is>
          <t>MOTALA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1264-2025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45763</v>
      </c>
      <c r="E446" s="1" t="n">
        <v>46274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1475-2025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45786</v>
      </c>
      <c r="E447" s="1" t="n">
        <v>46274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1584-2025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45796</v>
      </c>
      <c r="E448" s="1" t="n">
        <v>46274</v>
      </c>
      <c r="F448" t="inlineStr">
        <is>
          <t>ÖSTERGÖTLANDS LÄN</t>
        </is>
      </c>
      <c r="G448" t="inlineStr">
        <is>
          <t>MOTALA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421-2026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46071</v>
      </c>
      <c r="E449" s="1" t="n">
        <v>46274</v>
      </c>
      <c r="F449" t="inlineStr">
        <is>
          <t>ÖSTERGÖTLANDS LÄN</t>
        </is>
      </c>
      <c r="G449" t="inlineStr">
        <is>
          <t>MOTALA</t>
        </is>
      </c>
      <c r="I449" t="n">
        <v>11.2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523-2026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46077</v>
      </c>
      <c r="E450" s="1" t="n">
        <v>46274</v>
      </c>
      <c r="F450" t="inlineStr">
        <is>
          <t>ÖSTERGÖTLANDS LÄN</t>
        </is>
      </c>
      <c r="G450" t="inlineStr">
        <is>
          <t>MOTALA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>
      <c r="A451" t="inlineStr">
        <is>
          <t>S 820-2026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46104</v>
      </c>
      <c r="E451" s="1" t="n">
        <v>46274</v>
      </c>
      <c r="F451" t="inlineStr">
        <is>
          <t>ÖSTERGÖTLANDS LÄN</t>
        </is>
      </c>
      <c r="G451" t="inlineStr">
        <is>
          <t>MOTALA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2026-09-09T02:13:18Z</dcterms:created>
  <dcterms:modified xmlns:dcterms="http://purl.org/dc/terms/" xmlns:xsi="http://www.w3.org/2001/XMLSchema-instance" xsi:type="dcterms:W3CDTF">2026-09-09T02:13:19Z</dcterms:modified>
</cp:coreProperties>
</file>