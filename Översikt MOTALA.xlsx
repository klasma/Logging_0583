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45850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45850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45850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45850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45850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45850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45850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45850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45850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45850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65282-2019</t>
        </is>
      </c>
      <c r="B12" s="1" t="n">
        <v>43802</v>
      </c>
      <c r="C12" s="1" t="n">
        <v>45850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11.9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Gulsparv
Grönsiska
Sparvuggla</t>
        </is>
      </c>
      <c r="S12">
        <f>HYPERLINK("https://klasma.github.io/Logging_0583/artfynd/A 65282-2019 artfynd.xlsx", "A 65282-2019")</f>
        <v/>
      </c>
      <c r="T12">
        <f>HYPERLINK("https://klasma.github.io/Logging_0583/kartor/A 65282-2019 karta.png", "A 65282-2019")</f>
        <v/>
      </c>
      <c r="V12">
        <f>HYPERLINK("https://klasma.github.io/Logging_0583/klagomål/A 65282-2019 FSC-klagomål.docx", "A 65282-2019")</f>
        <v/>
      </c>
      <c r="W12">
        <f>HYPERLINK("https://klasma.github.io/Logging_0583/klagomålsmail/A 65282-2019 FSC-klagomål mail.docx", "A 65282-2019")</f>
        <v/>
      </c>
      <c r="X12">
        <f>HYPERLINK("https://klasma.github.io/Logging_0583/tillsyn/A 65282-2019 tillsynsbegäran.docx", "A 65282-2019")</f>
        <v/>
      </c>
      <c r="Y12">
        <f>HYPERLINK("https://klasma.github.io/Logging_0583/tillsynsmail/A 65282-2019 tillsynsbegäran mail.docx", "A 65282-2019")</f>
        <v/>
      </c>
      <c r="Z12">
        <f>HYPERLINK("https://klasma.github.io/Logging_0583/fåglar/A 65282-2019 prioriterade fågelarter.docx", "A 65282-2019")</f>
        <v/>
      </c>
    </row>
    <row r="13" ht="15" customHeight="1">
      <c r="A13" t="inlineStr">
        <is>
          <t>A 3721-2023</t>
        </is>
      </c>
      <c r="B13" s="1" t="n">
        <v>44951</v>
      </c>
      <c r="C13" s="1" t="n">
        <v>45850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Flagellkvastmossa
Kornknutmossa
Kungsfågel</t>
        </is>
      </c>
      <c r="S13">
        <f>HYPERLINK("https://klasma.github.io/Logging_0583/artfynd/A 3721-2023 artfynd.xlsx", "A 3721-2023")</f>
        <v/>
      </c>
      <c r="T13">
        <f>HYPERLINK("https://klasma.github.io/Logging_0583/kartor/A 3721-2023 karta.png", "A 3721-2023")</f>
        <v/>
      </c>
      <c r="U13">
        <f>HYPERLINK("https://klasma.github.io/Logging_0583/knärot/A 3721-2023 karta knärot.png", "A 3721-2023")</f>
        <v/>
      </c>
      <c r="V13">
        <f>HYPERLINK("https://klasma.github.io/Logging_0583/klagomål/A 3721-2023 FSC-klagomål.docx", "A 3721-2023")</f>
        <v/>
      </c>
      <c r="W13">
        <f>HYPERLINK("https://klasma.github.io/Logging_0583/klagomålsmail/A 3721-2023 FSC-klagomål mail.docx", "A 3721-2023")</f>
        <v/>
      </c>
      <c r="X13">
        <f>HYPERLINK("https://klasma.github.io/Logging_0583/tillsyn/A 3721-2023 tillsynsbegäran.docx", "A 3721-2023")</f>
        <v/>
      </c>
      <c r="Y13">
        <f>HYPERLINK("https://klasma.github.io/Logging_0583/tillsynsmail/A 3721-2023 tillsynsbegäran mail.docx", "A 3721-2023")</f>
        <v/>
      </c>
      <c r="Z13">
        <f>HYPERLINK("https://klasma.github.io/Logging_0583/fåglar/A 3721-2023 prioriterade fågelarter.docx", "A 3721-2023")</f>
        <v/>
      </c>
    </row>
    <row r="14" ht="15" customHeight="1">
      <c r="A14" t="inlineStr">
        <is>
          <t>A 49690-2024</t>
        </is>
      </c>
      <c r="B14" s="1" t="n">
        <v>45596</v>
      </c>
      <c r="C14" s="1" t="n">
        <v>45850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11.4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Mindre märgborre
Revlummer</t>
        </is>
      </c>
      <c r="S14">
        <f>HYPERLINK("https://klasma.github.io/Logging_0583/artfynd/A 49690-2024 artfynd.xlsx", "A 49690-2024")</f>
        <v/>
      </c>
      <c r="T14">
        <f>HYPERLINK("https://klasma.github.io/Logging_0583/kartor/A 49690-2024 karta.png", "A 49690-2024")</f>
        <v/>
      </c>
      <c r="V14">
        <f>HYPERLINK("https://klasma.github.io/Logging_0583/klagomål/A 49690-2024 FSC-klagomål.docx", "A 49690-2024")</f>
        <v/>
      </c>
      <c r="W14">
        <f>HYPERLINK("https://klasma.github.io/Logging_0583/klagomålsmail/A 49690-2024 FSC-klagomål mail.docx", "A 49690-2024")</f>
        <v/>
      </c>
      <c r="X14">
        <f>HYPERLINK("https://klasma.github.io/Logging_0583/tillsyn/A 49690-2024 tillsynsbegäran.docx", "A 49690-2024")</f>
        <v/>
      </c>
      <c r="Y14">
        <f>HYPERLINK("https://klasma.github.io/Logging_0583/tillsynsmail/A 49690-2024 tillsynsbegäran mail.docx", "A 49690-2024")</f>
        <v/>
      </c>
    </row>
    <row r="15" ht="15" customHeight="1">
      <c r="A15" t="inlineStr">
        <is>
          <t>A 4512-2023</t>
        </is>
      </c>
      <c r="B15" s="1" t="n">
        <v>44956</v>
      </c>
      <c r="C15" s="1" t="n">
        <v>45850</v>
      </c>
      <c r="D15" t="inlineStr">
        <is>
          <t>ÖSTERGÖTLANDS LÄN</t>
        </is>
      </c>
      <c r="E15" t="inlineStr">
        <is>
          <t>MOTALA</t>
        </is>
      </c>
      <c r="F15" t="inlineStr">
        <is>
          <t>Kommuner</t>
        </is>
      </c>
      <c r="G15" t="n">
        <v>4.3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HYPERLINK("https://klasma.github.io/Logging_0583/artfynd/A 4512-2023 artfynd.xlsx", "A 4512-2023")</f>
        <v/>
      </c>
      <c r="T15">
        <f>HYPERLINK("https://klasma.github.io/Logging_0583/kartor/A 4512-2023 karta.png", "A 4512-2023")</f>
        <v/>
      </c>
      <c r="V15">
        <f>HYPERLINK("https://klasma.github.io/Logging_0583/klagomål/A 4512-2023 FSC-klagomål.docx", "A 4512-2023")</f>
        <v/>
      </c>
      <c r="W15">
        <f>HYPERLINK("https://klasma.github.io/Logging_0583/klagomålsmail/A 4512-2023 FSC-klagomål mail.docx", "A 4512-2023")</f>
        <v/>
      </c>
      <c r="X15">
        <f>HYPERLINK("https://klasma.github.io/Logging_0583/tillsyn/A 4512-2023 tillsynsbegäran.docx", "A 4512-2023")</f>
        <v/>
      </c>
      <c r="Y15">
        <f>HYPERLINK("https://klasma.github.io/Logging_0583/tillsynsmail/A 4512-2023 tillsynsbegäran mail.docx", "A 4512-2023")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45850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28075-2024</t>
        </is>
      </c>
      <c r="B17" s="1" t="n">
        <v>45476</v>
      </c>
      <c r="C17" s="1" t="n">
        <v>45850</v>
      </c>
      <c r="D17" t="inlineStr">
        <is>
          <t>ÖSTERGÖTLANDS LÄN</t>
        </is>
      </c>
      <c r="E17" t="inlineStr">
        <is>
          <t>MOTALA</t>
        </is>
      </c>
      <c r="F17" t="inlineStr">
        <is>
          <t>Holmen skog AB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Slåtterfibbla</t>
        </is>
      </c>
      <c r="S17">
        <f>HYPERLINK("https://klasma.github.io/Logging_0583/artfynd/A 28075-2024 artfynd.xlsx", "A 28075-2024")</f>
        <v/>
      </c>
      <c r="T17">
        <f>HYPERLINK("https://klasma.github.io/Logging_0583/kartor/A 28075-2024 karta.png", "A 28075-2024")</f>
        <v/>
      </c>
      <c r="V17">
        <f>HYPERLINK("https://klasma.github.io/Logging_0583/klagomål/A 28075-2024 FSC-klagomål.docx", "A 28075-2024")</f>
        <v/>
      </c>
      <c r="W17">
        <f>HYPERLINK("https://klasma.github.io/Logging_0583/klagomålsmail/A 28075-2024 FSC-klagomål mail.docx", "A 28075-2024")</f>
        <v/>
      </c>
      <c r="X17">
        <f>HYPERLINK("https://klasma.github.io/Logging_0583/tillsyn/A 28075-2024 tillsynsbegäran.docx", "A 28075-2024")</f>
        <v/>
      </c>
      <c r="Y17">
        <f>HYPERLINK("https://klasma.github.io/Logging_0583/tillsynsmail/A 28075-2024 tillsynsbegäran mail.docx", "A 28075-2024")</f>
        <v/>
      </c>
    </row>
    <row r="18" ht="15" customHeight="1">
      <c r="A18" t="inlineStr">
        <is>
          <t>A 49665-2024</t>
        </is>
      </c>
      <c r="B18" s="1" t="n">
        <v>45596</v>
      </c>
      <c r="C18" s="1" t="n">
        <v>45850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7.2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Flagellkvastmossa
Mindre märgborre</t>
        </is>
      </c>
      <c r="S18">
        <f>HYPERLINK("https://klasma.github.io/Logging_0583/artfynd/A 49665-2024 artfynd.xlsx", "A 49665-2024")</f>
        <v/>
      </c>
      <c r="T18">
        <f>HYPERLINK("https://klasma.github.io/Logging_0583/kartor/A 49665-2024 karta.png", "A 49665-2024")</f>
        <v/>
      </c>
      <c r="V18">
        <f>HYPERLINK("https://klasma.github.io/Logging_0583/klagomål/A 49665-2024 FSC-klagomål.docx", "A 49665-2024")</f>
        <v/>
      </c>
      <c r="W18">
        <f>HYPERLINK("https://klasma.github.io/Logging_0583/klagomålsmail/A 49665-2024 FSC-klagomål mail.docx", "A 49665-2024")</f>
        <v/>
      </c>
      <c r="X18">
        <f>HYPERLINK("https://klasma.github.io/Logging_0583/tillsyn/A 49665-2024 tillsynsbegäran.docx", "A 49665-2024")</f>
        <v/>
      </c>
      <c r="Y18">
        <f>HYPERLINK("https://klasma.github.io/Logging_0583/tillsynsmail/A 49665-2024 tillsynsbegäran mail.docx", "A 49665-2024")</f>
        <v/>
      </c>
    </row>
    <row r="19" ht="15" customHeight="1">
      <c r="A19" t="inlineStr">
        <is>
          <t>A 49937-2024</t>
        </is>
      </c>
      <c r="B19" s="1" t="n">
        <v>45597</v>
      </c>
      <c r="C19" s="1" t="n">
        <v>45850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Skogsalm
Tibast</t>
        </is>
      </c>
      <c r="S19">
        <f>HYPERLINK("https://klasma.github.io/Logging_0583/artfynd/A 49937-2024 artfynd.xlsx", "A 49937-2024")</f>
        <v/>
      </c>
      <c r="T19">
        <f>HYPERLINK("https://klasma.github.io/Logging_0583/kartor/A 49937-2024 karta.png", "A 49937-2024")</f>
        <v/>
      </c>
      <c r="V19">
        <f>HYPERLINK("https://klasma.github.io/Logging_0583/klagomål/A 49937-2024 FSC-klagomål.docx", "A 49937-2024")</f>
        <v/>
      </c>
      <c r="W19">
        <f>HYPERLINK("https://klasma.github.io/Logging_0583/klagomålsmail/A 49937-2024 FSC-klagomål mail.docx", "A 49937-2024")</f>
        <v/>
      </c>
      <c r="X19">
        <f>HYPERLINK("https://klasma.github.io/Logging_0583/tillsyn/A 49937-2024 tillsynsbegäran.docx", "A 49937-2024")</f>
        <v/>
      </c>
      <c r="Y19">
        <f>HYPERLINK("https://klasma.github.io/Logging_0583/tillsynsmail/A 49937-2024 tillsynsbegäran mail.docx", "A 49937-2024")</f>
        <v/>
      </c>
    </row>
    <row r="20" ht="15" customHeight="1">
      <c r="A20" t="inlineStr">
        <is>
          <t>A 1931-2025</t>
        </is>
      </c>
      <c r="B20" s="1" t="n">
        <v>45671</v>
      </c>
      <c r="C20" s="1" t="n">
        <v>45850</v>
      </c>
      <c r="D20" t="inlineStr">
        <is>
          <t>ÖSTERGÖTLANDS LÄN</t>
        </is>
      </c>
      <c r="E20" t="inlineStr">
        <is>
          <t>MOTALA</t>
        </is>
      </c>
      <c r="F20" t="inlineStr">
        <is>
          <t>Allmännings- och besparingsskogar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Grovticka
Nattviol</t>
        </is>
      </c>
      <c r="S20">
        <f>HYPERLINK("https://klasma.github.io/Logging_0583/artfynd/A 1931-2025 artfynd.xlsx", "A 1931-2025")</f>
        <v/>
      </c>
      <c r="T20">
        <f>HYPERLINK("https://klasma.github.io/Logging_0583/kartor/A 1931-2025 karta.png", "A 1931-2025")</f>
        <v/>
      </c>
      <c r="V20">
        <f>HYPERLINK("https://klasma.github.io/Logging_0583/klagomål/A 1931-2025 FSC-klagomål.docx", "A 1931-2025")</f>
        <v/>
      </c>
      <c r="W20">
        <f>HYPERLINK("https://klasma.github.io/Logging_0583/klagomålsmail/A 1931-2025 FSC-klagomål mail.docx", "A 1931-2025")</f>
        <v/>
      </c>
      <c r="X20">
        <f>HYPERLINK("https://klasma.github.io/Logging_0583/tillsyn/A 1931-2025 tillsynsbegäran.docx", "A 1931-2025")</f>
        <v/>
      </c>
      <c r="Y20">
        <f>HYPERLINK("https://klasma.github.io/Logging_0583/tillsynsmail/A 1931-2025 tillsynsbegäran mail.docx", "A 1931-2025")</f>
        <v/>
      </c>
    </row>
    <row r="21" ht="15" customHeight="1">
      <c r="A21" t="inlineStr">
        <is>
          <t>A 30060-2019</t>
        </is>
      </c>
      <c r="B21" s="1" t="n">
        <v>43633</v>
      </c>
      <c r="C21" s="1" t="n">
        <v>45850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30060-2019 artfynd.xlsx", "A 30060-2019")</f>
        <v/>
      </c>
      <c r="T21">
        <f>HYPERLINK("https://klasma.github.io/Logging_0583/kartor/A 30060-2019 karta.png", "A 30060-2019")</f>
        <v/>
      </c>
      <c r="V21">
        <f>HYPERLINK("https://klasma.github.io/Logging_0583/klagomål/A 30060-2019 FSC-klagomål.docx", "A 30060-2019")</f>
        <v/>
      </c>
      <c r="W21">
        <f>HYPERLINK("https://klasma.github.io/Logging_0583/klagomålsmail/A 30060-2019 FSC-klagomål mail.docx", "A 30060-2019")</f>
        <v/>
      </c>
      <c r="X21">
        <f>HYPERLINK("https://klasma.github.io/Logging_0583/tillsyn/A 30060-2019 tillsynsbegäran.docx", "A 30060-2019")</f>
        <v/>
      </c>
      <c r="Y21">
        <f>HYPERLINK("https://klasma.github.io/Logging_0583/tillsynsmail/A 30060-2019 tillsynsbegäran mail.docx", "A 30060-2019")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45850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45850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45850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45850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45850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45850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45850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45850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24255-2022</t>
        </is>
      </c>
      <c r="B30" s="1" t="n">
        <v>44725</v>
      </c>
      <c r="C30" s="1" t="n">
        <v>45850</v>
      </c>
      <c r="D30" t="inlineStr">
        <is>
          <t>ÖSTERGÖTLANDS LÄN</t>
        </is>
      </c>
      <c r="E30" t="inlineStr">
        <is>
          <t>MOTALA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HYPERLINK("https://klasma.github.io/Logging_0583/artfynd/A 24255-2022 artfynd.xlsx", "A 24255-2022")</f>
        <v/>
      </c>
      <c r="T30">
        <f>HYPERLINK("https://klasma.github.io/Logging_0583/kartor/A 24255-2022 karta.png", "A 24255-2022")</f>
        <v/>
      </c>
      <c r="V30">
        <f>HYPERLINK("https://klasma.github.io/Logging_0583/klagomål/A 24255-2022 FSC-klagomål.docx", "A 24255-2022")</f>
        <v/>
      </c>
      <c r="W30">
        <f>HYPERLINK("https://klasma.github.io/Logging_0583/klagomålsmail/A 24255-2022 FSC-klagomål mail.docx", "A 24255-2022")</f>
        <v/>
      </c>
      <c r="X30">
        <f>HYPERLINK("https://klasma.github.io/Logging_0583/tillsyn/A 24255-2022 tillsynsbegäran.docx", "A 24255-2022")</f>
        <v/>
      </c>
      <c r="Y30">
        <f>HYPERLINK("https://klasma.github.io/Logging_0583/tillsynsmail/A 24255-2022 tillsynsbegäran mail.docx", "A 24255-2022")</f>
        <v/>
      </c>
    </row>
    <row r="31" ht="15" customHeight="1">
      <c r="A31" t="inlineStr">
        <is>
          <t>A 52523-2022</t>
        </is>
      </c>
      <c r="B31" s="1" t="n">
        <v>44874</v>
      </c>
      <c r="C31" s="1" t="n">
        <v>45850</v>
      </c>
      <c r="D31" t="inlineStr">
        <is>
          <t>ÖSTERGÖTLANDS LÄN</t>
        </is>
      </c>
      <c r="E31" t="inlineStr">
        <is>
          <t>MOTALA</t>
        </is>
      </c>
      <c r="F31" t="inlineStr">
        <is>
          <t>Kyrkan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HYPERLINK("https://klasma.github.io/Logging_0583/artfynd/A 52523-2022 artfynd.xlsx", "A 52523-2022")</f>
        <v/>
      </c>
      <c r="T31">
        <f>HYPERLINK("https://klasma.github.io/Logging_0583/kartor/A 52523-2022 karta.png", "A 52523-2022")</f>
        <v/>
      </c>
      <c r="V31">
        <f>HYPERLINK("https://klasma.github.io/Logging_0583/klagomål/A 52523-2022 FSC-klagomål.docx", "A 52523-2022")</f>
        <v/>
      </c>
      <c r="W31">
        <f>HYPERLINK("https://klasma.github.io/Logging_0583/klagomålsmail/A 52523-2022 FSC-klagomål mail.docx", "A 52523-2022")</f>
        <v/>
      </c>
      <c r="X31">
        <f>HYPERLINK("https://klasma.github.io/Logging_0583/tillsyn/A 52523-2022 tillsynsbegäran.docx", "A 52523-2022")</f>
        <v/>
      </c>
      <c r="Y31">
        <f>HYPERLINK("https://klasma.github.io/Logging_0583/tillsynsmail/A 52523-2022 tillsynsbegäran mail.docx", "A 52523-2022")</f>
        <v/>
      </c>
    </row>
    <row r="32" ht="15" customHeight="1">
      <c r="A32" t="inlineStr">
        <is>
          <t>A 43262-2023</t>
        </is>
      </c>
      <c r="B32" s="1" t="n">
        <v>45183</v>
      </c>
      <c r="C32" s="1" t="n">
        <v>45850</v>
      </c>
      <c r="D32" t="inlineStr">
        <is>
          <t>ÖSTERGÖTLANDS LÄN</t>
        </is>
      </c>
      <c r="E32" t="inlineStr">
        <is>
          <t>MOTALA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HYPERLINK("https://klasma.github.io/Logging_0583/artfynd/A 43262-2023 artfynd.xlsx", "A 43262-2023")</f>
        <v/>
      </c>
      <c r="T32">
        <f>HYPERLINK("https://klasma.github.io/Logging_0583/kartor/A 43262-2023 karta.png", "A 43262-2023")</f>
        <v/>
      </c>
      <c r="V32">
        <f>HYPERLINK("https://klasma.github.io/Logging_0583/klagomål/A 43262-2023 FSC-klagomål.docx", "A 43262-2023")</f>
        <v/>
      </c>
      <c r="W32">
        <f>HYPERLINK("https://klasma.github.io/Logging_0583/klagomålsmail/A 43262-2023 FSC-klagomål mail.docx", "A 43262-2023")</f>
        <v/>
      </c>
      <c r="X32">
        <f>HYPERLINK("https://klasma.github.io/Logging_0583/tillsyn/A 43262-2023 tillsynsbegäran.docx", "A 43262-2023")</f>
        <v/>
      </c>
      <c r="Y32">
        <f>HYPERLINK("https://klasma.github.io/Logging_0583/tillsynsmail/A 43262-2023 tillsynsbegäran mail.docx", "A 43262-2023")</f>
        <v/>
      </c>
    </row>
    <row r="33" ht="15" customHeight="1">
      <c r="A33" t="inlineStr">
        <is>
          <t>A 50174-2023</t>
        </is>
      </c>
      <c r="B33" s="1" t="n">
        <v>45215</v>
      </c>
      <c r="C33" s="1" t="n">
        <v>45850</v>
      </c>
      <c r="D33" t="inlineStr">
        <is>
          <t>ÖSTERGÖTLANDS LÄN</t>
        </is>
      </c>
      <c r="E33" t="inlineStr">
        <is>
          <t>MOTALA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HYPERLINK("https://klasma.github.io/Logging_0583/artfynd/A 50174-2023 artfynd.xlsx", "A 50174-2023")</f>
        <v/>
      </c>
      <c r="T33">
        <f>HYPERLINK("https://klasma.github.io/Logging_0583/kartor/A 50174-2023 karta.png", "A 50174-2023")</f>
        <v/>
      </c>
      <c r="V33">
        <f>HYPERLINK("https://klasma.github.io/Logging_0583/klagomål/A 50174-2023 FSC-klagomål.docx", "A 50174-2023")</f>
        <v/>
      </c>
      <c r="W33">
        <f>HYPERLINK("https://klasma.github.io/Logging_0583/klagomålsmail/A 50174-2023 FSC-klagomål mail.docx", "A 50174-2023")</f>
        <v/>
      </c>
      <c r="X33">
        <f>HYPERLINK("https://klasma.github.io/Logging_0583/tillsyn/A 50174-2023 tillsynsbegäran.docx", "A 50174-2023")</f>
        <v/>
      </c>
      <c r="Y33">
        <f>HYPERLINK("https://klasma.github.io/Logging_0583/tillsynsmail/A 50174-2023 tillsynsbegäran mail.docx", "A 50174-2023")</f>
        <v/>
      </c>
      <c r="Z33">
        <f>HYPERLINK("https://klasma.github.io/Logging_0583/fåglar/A 50174-2023 prioriterade fågelarter.docx", "A 50174-2023")</f>
        <v/>
      </c>
    </row>
    <row r="34" ht="15" customHeight="1">
      <c r="A34" t="inlineStr">
        <is>
          <t>A 517-2024</t>
        </is>
      </c>
      <c r="B34" s="1" t="n">
        <v>45299</v>
      </c>
      <c r="C34" s="1" t="n">
        <v>45850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HYPERLINK("https://klasma.github.io/Logging_0583/artfynd/A 517-2024 artfynd.xlsx", "A 517-2024")</f>
        <v/>
      </c>
      <c r="T34">
        <f>HYPERLINK("https://klasma.github.io/Logging_0583/kartor/A 517-2024 karta.png", "A 517-2024")</f>
        <v/>
      </c>
      <c r="V34">
        <f>HYPERLINK("https://klasma.github.io/Logging_0583/klagomål/A 517-2024 FSC-klagomål.docx", "A 517-2024")</f>
        <v/>
      </c>
      <c r="W34">
        <f>HYPERLINK("https://klasma.github.io/Logging_0583/klagomålsmail/A 517-2024 FSC-klagomål mail.docx", "A 517-2024")</f>
        <v/>
      </c>
      <c r="X34">
        <f>HYPERLINK("https://klasma.github.io/Logging_0583/tillsyn/A 517-2024 tillsynsbegäran.docx", "A 517-2024")</f>
        <v/>
      </c>
      <c r="Y34">
        <f>HYPERLINK("https://klasma.github.io/Logging_0583/tillsynsmail/A 517-2024 tillsynsbegäran mail.docx", "A 517-2024")</f>
        <v/>
      </c>
      <c r="Z34">
        <f>HYPERLINK("https://klasma.github.io/Logging_0583/fåglar/A 517-2024 prioriterade fågelarter.docx", "A 517-2024")</f>
        <v/>
      </c>
    </row>
    <row r="35" ht="15" customHeight="1">
      <c r="A35" t="inlineStr">
        <is>
          <t>A 8094-2024</t>
        </is>
      </c>
      <c r="B35" s="1" t="n">
        <v>45351</v>
      </c>
      <c r="C35" s="1" t="n">
        <v>45850</v>
      </c>
      <c r="D35" t="inlineStr">
        <is>
          <t>ÖSTERGÖTLANDS LÄN</t>
        </is>
      </c>
      <c r="E35" t="inlineStr">
        <is>
          <t>MOTALA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HYPERLINK("https://klasma.github.io/Logging_0583/artfynd/A 8094-2024 artfynd.xlsx", "A 8094-2024")</f>
        <v/>
      </c>
      <c r="T35">
        <f>HYPERLINK("https://klasma.github.io/Logging_0583/kartor/A 8094-2024 karta.png", "A 8094-2024")</f>
        <v/>
      </c>
      <c r="V35">
        <f>HYPERLINK("https://klasma.github.io/Logging_0583/klagomål/A 8094-2024 FSC-klagomål.docx", "A 8094-2024")</f>
        <v/>
      </c>
      <c r="W35">
        <f>HYPERLINK("https://klasma.github.io/Logging_0583/klagomålsmail/A 8094-2024 FSC-klagomål mail.docx", "A 8094-2024")</f>
        <v/>
      </c>
      <c r="X35">
        <f>HYPERLINK("https://klasma.github.io/Logging_0583/tillsyn/A 8094-2024 tillsynsbegäran.docx", "A 8094-2024")</f>
        <v/>
      </c>
      <c r="Y35">
        <f>HYPERLINK("https://klasma.github.io/Logging_0583/tillsynsmail/A 8094-2024 tillsynsbegäran mail.docx", "A 8094-2024")</f>
        <v/>
      </c>
    </row>
    <row r="36" ht="15" customHeight="1">
      <c r="A36" t="inlineStr">
        <is>
          <t>A 24686-2024</t>
        </is>
      </c>
      <c r="B36" s="1" t="n">
        <v>45460</v>
      </c>
      <c r="C36" s="1" t="n">
        <v>45850</v>
      </c>
      <c r="D36" t="inlineStr">
        <is>
          <t>ÖSTERGÖTLANDS LÄN</t>
        </is>
      </c>
      <c r="E36" t="inlineStr">
        <is>
          <t>MOTALA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HYPERLINK("https://klasma.github.io/Logging_0583/artfynd/A 24686-2024 artfynd.xlsx", "A 24686-2024")</f>
        <v/>
      </c>
      <c r="T36">
        <f>HYPERLINK("https://klasma.github.io/Logging_0583/kartor/A 24686-2024 karta.png", "A 24686-2024")</f>
        <v/>
      </c>
      <c r="V36">
        <f>HYPERLINK("https://klasma.github.io/Logging_0583/klagomål/A 24686-2024 FSC-klagomål.docx", "A 24686-2024")</f>
        <v/>
      </c>
      <c r="W36">
        <f>HYPERLINK("https://klasma.github.io/Logging_0583/klagomålsmail/A 24686-2024 FSC-klagomål mail.docx", "A 24686-2024")</f>
        <v/>
      </c>
      <c r="X36">
        <f>HYPERLINK("https://klasma.github.io/Logging_0583/tillsyn/A 24686-2024 tillsynsbegäran.docx", "A 24686-2024")</f>
        <v/>
      </c>
      <c r="Y36">
        <f>HYPERLINK("https://klasma.github.io/Logging_0583/tillsynsmail/A 24686-2024 tillsynsbegäran mail.docx", "A 24686-2024")</f>
        <v/>
      </c>
    </row>
    <row r="37" ht="15" customHeight="1">
      <c r="A37" t="inlineStr">
        <is>
          <t>A 29590-2024</t>
        </is>
      </c>
      <c r="B37" s="1" t="n">
        <v>45484</v>
      </c>
      <c r="C37" s="1" t="n">
        <v>45850</v>
      </c>
      <c r="D37" t="inlineStr">
        <is>
          <t>ÖSTERGÖTLANDS LÄN</t>
        </is>
      </c>
      <c r="E37" t="inlineStr">
        <is>
          <t>MOTALA</t>
        </is>
      </c>
      <c r="F37" t="inlineStr">
        <is>
          <t>Holmen skog AB</t>
        </is>
      </c>
      <c r="G37" t="n">
        <v>15.9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HYPERLINK("https://klasma.github.io/Logging_0583/artfynd/A 29590-2024 artfynd.xlsx", "A 29590-2024")</f>
        <v/>
      </c>
      <c r="T37">
        <f>HYPERLINK("https://klasma.github.io/Logging_0583/kartor/A 29590-2024 karta.png", "A 29590-2024")</f>
        <v/>
      </c>
      <c r="V37">
        <f>HYPERLINK("https://klasma.github.io/Logging_0583/klagomål/A 29590-2024 FSC-klagomål.docx", "A 29590-2024")</f>
        <v/>
      </c>
      <c r="W37">
        <f>HYPERLINK("https://klasma.github.io/Logging_0583/klagomålsmail/A 29590-2024 FSC-klagomål mail.docx", "A 29590-2024")</f>
        <v/>
      </c>
      <c r="X37">
        <f>HYPERLINK("https://klasma.github.io/Logging_0583/tillsyn/A 29590-2024 tillsynsbegäran.docx", "A 29590-2024")</f>
        <v/>
      </c>
      <c r="Y37">
        <f>HYPERLINK("https://klasma.github.io/Logging_0583/tillsynsmail/A 29590-2024 tillsynsbegäran mail.docx", "A 29590-2024")</f>
        <v/>
      </c>
    </row>
    <row r="38" ht="15" customHeight="1">
      <c r="A38" t="inlineStr">
        <is>
          <t>A 37706-2024</t>
        </is>
      </c>
      <c r="B38" s="1" t="n">
        <v>45541</v>
      </c>
      <c r="C38" s="1" t="n">
        <v>45850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Backtimjan</t>
        </is>
      </c>
      <c r="S38">
        <f>HYPERLINK("https://klasma.github.io/Logging_0583/artfynd/A 37706-2024 artfynd.xlsx", "A 37706-2024")</f>
        <v/>
      </c>
      <c r="T38">
        <f>HYPERLINK("https://klasma.github.io/Logging_0583/kartor/A 37706-2024 karta.png", "A 37706-2024")</f>
        <v/>
      </c>
      <c r="V38">
        <f>HYPERLINK("https://klasma.github.io/Logging_0583/klagomål/A 37706-2024 FSC-klagomål.docx", "A 37706-2024")</f>
        <v/>
      </c>
      <c r="W38">
        <f>HYPERLINK("https://klasma.github.io/Logging_0583/klagomålsmail/A 37706-2024 FSC-klagomål mail.docx", "A 37706-2024")</f>
        <v/>
      </c>
      <c r="X38">
        <f>HYPERLINK("https://klasma.github.io/Logging_0583/tillsyn/A 37706-2024 tillsynsbegäran.docx", "A 37706-2024")</f>
        <v/>
      </c>
      <c r="Y38">
        <f>HYPERLINK("https://klasma.github.io/Logging_0583/tillsynsmail/A 37706-2024 tillsynsbegäran mail.docx", "A 37706-2024")</f>
        <v/>
      </c>
    </row>
    <row r="39" ht="15" customHeight="1">
      <c r="A39" t="inlineStr">
        <is>
          <t>A 10565-2025</t>
        </is>
      </c>
      <c r="B39" s="1" t="n">
        <v>45721</v>
      </c>
      <c r="C39" s="1" t="n">
        <v>45850</v>
      </c>
      <c r="D39" t="inlineStr">
        <is>
          <t>ÖSTERGÖTLANDS LÄN</t>
        </is>
      </c>
      <c r="E39" t="inlineStr">
        <is>
          <t>MOTALA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10565-2025 artfynd.xlsx", "A 10565-2025")</f>
        <v/>
      </c>
      <c r="T39">
        <f>HYPERLINK("https://klasma.github.io/Logging_050583/kartor/A 10565-2025 karta.png", "A 10565-2025")</f>
        <v/>
      </c>
      <c r="V39">
        <f>HYPERLINK("https://klasma.github.io/Logging_050583/klagomål/A 10565-2025 FSC-klagomål.docx", "A 10565-2025")</f>
        <v/>
      </c>
      <c r="W39">
        <f>HYPERLINK("https://klasma.github.io/Logging_050583/klagomålsmail/A 10565-2025 FSC-klagomål mail.docx", "A 10565-2025")</f>
        <v/>
      </c>
      <c r="X39">
        <f>HYPERLINK("https://klasma.github.io/Logging_050583/tillsyn/A 10565-2025 tillsynsbegäran.docx", "A 10565-2025")</f>
        <v/>
      </c>
      <c r="Y39">
        <f>HYPERLINK("https://klasma.github.io/Logging_050583/tillsynsmail/A 10565-2025 tillsynsbegäran mail.docx", "A 10565-2025")</f>
        <v/>
      </c>
    </row>
    <row r="40" ht="15" customHeight="1">
      <c r="A40" t="inlineStr">
        <is>
          <t>A 18729-2025</t>
        </is>
      </c>
      <c r="B40" s="1" t="n">
        <v>45763</v>
      </c>
      <c r="C40" s="1" t="n">
        <v>45850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HYPERLINK("https://klasma.github.io/Logging_050583/artfynd/A 18729-2025 artfynd.xlsx", "A 18729-2025")</f>
        <v/>
      </c>
      <c r="T40">
        <f>HYPERLINK("https://klasma.github.io/Logging_050583/kartor/A 18729-2025 karta.png", "A 18729-2025")</f>
        <v/>
      </c>
      <c r="V40">
        <f>HYPERLINK("https://klasma.github.io/Logging_050583/klagomål/A 18729-2025 FSC-klagomål.docx", "A 18729-2025")</f>
        <v/>
      </c>
      <c r="W40">
        <f>HYPERLINK("https://klasma.github.io/Logging_050583/klagomålsmail/A 18729-2025 FSC-klagomål mail.docx", "A 18729-2025")</f>
        <v/>
      </c>
      <c r="X40">
        <f>HYPERLINK("https://klasma.github.io/Logging_050583/tillsyn/A 18729-2025 tillsynsbegäran.docx", "A 18729-2025")</f>
        <v/>
      </c>
      <c r="Y40">
        <f>HYPERLINK("https://klasma.github.io/Logging_050583/tillsynsmail/A 18729-2025 tillsynsbegäran mail.docx", "A 18729-2025")</f>
        <v/>
      </c>
    </row>
    <row r="41" ht="15" customHeight="1">
      <c r="A41" t="inlineStr">
        <is>
          <t>A 24554-2025</t>
        </is>
      </c>
      <c r="B41" s="1" t="n">
        <v>45798</v>
      </c>
      <c r="C41" s="1" t="n">
        <v>45850</v>
      </c>
      <c r="D41" t="inlineStr">
        <is>
          <t>ÖSTERGÖTLANDS LÄN</t>
        </is>
      </c>
      <c r="E41" t="inlineStr">
        <is>
          <t>MOTALA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HYPERLINK("https://klasma.github.io/Logging_050583/artfynd/A 24554-2025 artfynd.xlsx", "A 24554-2025")</f>
        <v/>
      </c>
      <c r="T41">
        <f>HYPERLINK("https://klasma.github.io/Logging_050583/kartor/A 24554-2025 karta.png", "A 24554-2025")</f>
        <v/>
      </c>
      <c r="V41">
        <f>HYPERLINK("https://klasma.github.io/Logging_050583/klagomål/A 24554-2025 FSC-klagomål.docx", "A 24554-2025")</f>
        <v/>
      </c>
      <c r="W41">
        <f>HYPERLINK("https://klasma.github.io/Logging_050583/klagomålsmail/A 24554-2025 FSC-klagomål mail.docx", "A 24554-2025")</f>
        <v/>
      </c>
      <c r="X41">
        <f>HYPERLINK("https://klasma.github.io/Logging_050583/tillsyn/A 24554-2025 tillsynsbegäran.docx", "A 24554-2025")</f>
        <v/>
      </c>
      <c r="Y41">
        <f>HYPERLINK("https://klasma.github.io/Logging_050583/tillsynsmail/A 24554-2025 tillsynsbegäran mail.docx", "A 24554-2025")</f>
        <v/>
      </c>
    </row>
    <row r="42" ht="15" customHeight="1">
      <c r="A42" t="inlineStr">
        <is>
          <t>A 17627-2019</t>
        </is>
      </c>
      <c r="B42" s="1" t="n">
        <v>43556</v>
      </c>
      <c r="C42" s="1" t="n">
        <v>45850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18589-2019</t>
        </is>
      </c>
      <c r="B43" s="1" t="n">
        <v>43558</v>
      </c>
      <c r="C43" s="1" t="n">
        <v>45850</v>
      </c>
      <c r="D43" t="inlineStr">
        <is>
          <t>ÖSTERGÖTLANDS LÄN</t>
        </is>
      </c>
      <c r="E43" t="inlineStr">
        <is>
          <t>MOTALA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19218-2019</t>
        </is>
      </c>
      <c r="B44" s="1" t="n">
        <v>43564</v>
      </c>
      <c r="C44" s="1" t="n">
        <v>45850</v>
      </c>
      <c r="D44" t="inlineStr">
        <is>
          <t>ÖSTERGÖTLANDS LÄN</t>
        </is>
      </c>
      <c r="E44" t="inlineStr">
        <is>
          <t>MOTALA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19628-2019</t>
        </is>
      </c>
      <c r="B45" s="1" t="n">
        <v>43566</v>
      </c>
      <c r="C45" s="1" t="n">
        <v>45850</v>
      </c>
      <c r="D45" t="inlineStr">
        <is>
          <t>ÖSTERGÖTLANDS LÄN</t>
        </is>
      </c>
      <c r="E45" t="inlineStr">
        <is>
          <t>MOTALA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20116-2019</t>
        </is>
      </c>
      <c r="B46" s="1" t="n">
        <v>43570</v>
      </c>
      <c r="C46" s="1" t="n">
        <v>45850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20837-2019</t>
        </is>
      </c>
      <c r="B47" s="1" t="n">
        <v>43576</v>
      </c>
      <c r="C47" s="1" t="n">
        <v>45850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22949-2019</t>
        </is>
      </c>
      <c r="B48" s="1" t="n">
        <v>43587</v>
      </c>
      <c r="C48" s="1" t="n">
        <v>45850</v>
      </c>
      <c r="D48" t="inlineStr">
        <is>
          <t>ÖSTERGÖTLANDS LÄN</t>
        </is>
      </c>
      <c r="E48" t="inlineStr">
        <is>
          <t>MOTALA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25867-2019</t>
        </is>
      </c>
      <c r="B49" s="1" t="n">
        <v>43608</v>
      </c>
      <c r="C49" s="1" t="n">
        <v>45850</v>
      </c>
      <c r="D49" t="inlineStr">
        <is>
          <t>ÖSTERGÖTLANDS LÄN</t>
        </is>
      </c>
      <c r="E49" t="inlineStr">
        <is>
          <t>MOTALA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25912-2019</t>
        </is>
      </c>
      <c r="B50" s="1" t="n">
        <v>43608</v>
      </c>
      <c r="C50" s="1" t="n">
        <v>45850</v>
      </c>
      <c r="D50" t="inlineStr">
        <is>
          <t>ÖSTERGÖTLANDS LÄN</t>
        </is>
      </c>
      <c r="E50" t="inlineStr">
        <is>
          <t>MOTALA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26186-2019</t>
        </is>
      </c>
      <c r="B51" s="1" t="n">
        <v>43609</v>
      </c>
      <c r="C51" s="1" t="n">
        <v>45850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26195-2019</t>
        </is>
      </c>
      <c r="B52" s="1" t="n">
        <v>43609</v>
      </c>
      <c r="C52" s="1" t="n">
        <v>45850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26191-2019</t>
        </is>
      </c>
      <c r="B53" s="1" t="n">
        <v>43609</v>
      </c>
      <c r="C53" s="1" t="n">
        <v>45850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26206-2019</t>
        </is>
      </c>
      <c r="B54" s="1" t="n">
        <v>43609</v>
      </c>
      <c r="C54" s="1" t="n">
        <v>45850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26185-2019</t>
        </is>
      </c>
      <c r="B55" s="1" t="n">
        <v>43609</v>
      </c>
      <c r="C55" s="1" t="n">
        <v>45850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26188-2019</t>
        </is>
      </c>
      <c r="B56" s="1" t="n">
        <v>43609</v>
      </c>
      <c r="C56" s="1" t="n">
        <v>45850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26199-2019</t>
        </is>
      </c>
      <c r="B57" s="1" t="n">
        <v>43609</v>
      </c>
      <c r="C57" s="1" t="n">
        <v>45850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26534-2019</t>
        </is>
      </c>
      <c r="B58" s="1" t="n">
        <v>43612</v>
      </c>
      <c r="C58" s="1" t="n">
        <v>45850</v>
      </c>
      <c r="D58" t="inlineStr">
        <is>
          <t>ÖSTERGÖTLANDS LÄN</t>
        </is>
      </c>
      <c r="E58" t="inlineStr">
        <is>
          <t>MOTALA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27727-2019</t>
        </is>
      </c>
      <c r="B59" s="1" t="n">
        <v>43619</v>
      </c>
      <c r="C59" s="1" t="n">
        <v>45850</v>
      </c>
      <c r="D59" t="inlineStr">
        <is>
          <t>ÖSTERGÖTLANDS LÄN</t>
        </is>
      </c>
      <c r="E59" t="inlineStr">
        <is>
          <t>MOTALA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28044-2019</t>
        </is>
      </c>
      <c r="B60" s="1" t="n">
        <v>43621</v>
      </c>
      <c r="C60" s="1" t="n">
        <v>45850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28045-2019</t>
        </is>
      </c>
      <c r="B61" s="1" t="n">
        <v>43621</v>
      </c>
      <c r="C61" s="1" t="n">
        <v>45850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29391-2019</t>
        </is>
      </c>
      <c r="B62" s="1" t="n">
        <v>43629</v>
      </c>
      <c r="C62" s="1" t="n">
        <v>45850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29497-2019</t>
        </is>
      </c>
      <c r="B63" s="1" t="n">
        <v>43630</v>
      </c>
      <c r="C63" s="1" t="n">
        <v>45850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29966-2019</t>
        </is>
      </c>
      <c r="B64" s="1" t="n">
        <v>43633</v>
      </c>
      <c r="C64" s="1" t="n">
        <v>45850</v>
      </c>
      <c r="D64" t="inlineStr">
        <is>
          <t>ÖSTERGÖTLANDS LÄN</t>
        </is>
      </c>
      <c r="E64" t="inlineStr">
        <is>
          <t>MOTALA</t>
        </is>
      </c>
      <c r="G64" t="n">
        <v>48.6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29972-2019</t>
        </is>
      </c>
      <c r="B65" s="1" t="n">
        <v>43633</v>
      </c>
      <c r="C65" s="1" t="n">
        <v>45850</v>
      </c>
      <c r="D65" t="inlineStr">
        <is>
          <t>ÖSTERGÖTLANDS LÄN</t>
        </is>
      </c>
      <c r="E65" t="inlineStr">
        <is>
          <t>MOTALA</t>
        </is>
      </c>
      <c r="G65" t="n">
        <v>20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30064-2019</t>
        </is>
      </c>
      <c r="B66" s="1" t="n">
        <v>43633</v>
      </c>
      <c r="C66" s="1" t="n">
        <v>45850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30063-2019</t>
        </is>
      </c>
      <c r="B67" s="1" t="n">
        <v>43633</v>
      </c>
      <c r="C67" s="1" t="n">
        <v>45850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30066-2019</t>
        </is>
      </c>
      <c r="B68" s="1" t="n">
        <v>43633</v>
      </c>
      <c r="C68" s="1" t="n">
        <v>45850</v>
      </c>
      <c r="D68" t="inlineStr">
        <is>
          <t>ÖSTERGÖTLANDS LÄN</t>
        </is>
      </c>
      <c r="E68" t="inlineStr">
        <is>
          <t>MOTALA</t>
        </is>
      </c>
      <c r="F68" t="inlineStr">
        <is>
          <t>Övriga statliga verk och myndigheter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30598-2019</t>
        </is>
      </c>
      <c r="B69" s="1" t="n">
        <v>43635</v>
      </c>
      <c r="C69" s="1" t="n">
        <v>45850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31130-2019</t>
        </is>
      </c>
      <c r="B70" s="1" t="n">
        <v>43640</v>
      </c>
      <c r="C70" s="1" t="n">
        <v>45850</v>
      </c>
      <c r="D70" t="inlineStr">
        <is>
          <t>ÖSTERGÖTLANDS LÄN</t>
        </is>
      </c>
      <c r="E70" t="inlineStr">
        <is>
          <t>MOTALA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31135-2019</t>
        </is>
      </c>
      <c r="B71" s="1" t="n">
        <v>43640</v>
      </c>
      <c r="C71" s="1" t="n">
        <v>45850</v>
      </c>
      <c r="D71" t="inlineStr">
        <is>
          <t>ÖSTERGÖTLANDS LÄN</t>
        </is>
      </c>
      <c r="E71" t="inlineStr">
        <is>
          <t>MOTALA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31967-2019</t>
        </is>
      </c>
      <c r="B72" s="1" t="n">
        <v>43642</v>
      </c>
      <c r="C72" s="1" t="n">
        <v>45850</v>
      </c>
      <c r="D72" t="inlineStr">
        <is>
          <t>ÖSTERGÖTLANDS LÄN</t>
        </is>
      </c>
      <c r="E72" t="inlineStr">
        <is>
          <t>MOTALA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32036-2019</t>
        </is>
      </c>
      <c r="B73" s="1" t="n">
        <v>43643</v>
      </c>
      <c r="C73" s="1" t="n">
        <v>45850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33294-2019</t>
        </is>
      </c>
      <c r="B74" s="1" t="n">
        <v>43644</v>
      </c>
      <c r="C74" s="1" t="n">
        <v>45850</v>
      </c>
      <c r="D74" t="inlineStr">
        <is>
          <t>ÖSTERGÖTLANDS LÄN</t>
        </is>
      </c>
      <c r="E74" t="inlineStr">
        <is>
          <t>MOTALA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34042-2019</t>
        </is>
      </c>
      <c r="B75" s="1" t="n">
        <v>43654</v>
      </c>
      <c r="C75" s="1" t="n">
        <v>45850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35414-2019</t>
        </is>
      </c>
      <c r="B76" s="1" t="n">
        <v>43663</v>
      </c>
      <c r="C76" s="1" t="n">
        <v>45850</v>
      </c>
      <c r="D76" t="inlineStr">
        <is>
          <t>ÖSTERGÖTLANDS LÄN</t>
        </is>
      </c>
      <c r="E76" t="inlineStr">
        <is>
          <t>MOTALA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36476-2019</t>
        </is>
      </c>
      <c r="B77" s="1" t="n">
        <v>43665</v>
      </c>
      <c r="C77" s="1" t="n">
        <v>45850</v>
      </c>
      <c r="D77" t="inlineStr">
        <is>
          <t>ÖSTERGÖTLANDS LÄN</t>
        </is>
      </c>
      <c r="E77" t="inlineStr">
        <is>
          <t>MOTALA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36473-2019</t>
        </is>
      </c>
      <c r="B78" s="1" t="n">
        <v>43665</v>
      </c>
      <c r="C78" s="1" t="n">
        <v>45850</v>
      </c>
      <c r="D78" t="inlineStr">
        <is>
          <t>ÖSTERGÖTLANDS LÄN</t>
        </is>
      </c>
      <c r="E78" t="inlineStr">
        <is>
          <t>MOTALA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36475-2019</t>
        </is>
      </c>
      <c r="B79" s="1" t="n">
        <v>43665</v>
      </c>
      <c r="C79" s="1" t="n">
        <v>45850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36668-2019</t>
        </is>
      </c>
      <c r="B80" s="1" t="n">
        <v>43669</v>
      </c>
      <c r="C80" s="1" t="n">
        <v>45850</v>
      </c>
      <c r="D80" t="inlineStr">
        <is>
          <t>ÖSTERGÖTLANDS LÄN</t>
        </is>
      </c>
      <c r="E80" t="inlineStr">
        <is>
          <t>MOTALA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36674-2019</t>
        </is>
      </c>
      <c r="B81" s="1" t="n">
        <v>43669</v>
      </c>
      <c r="C81" s="1" t="n">
        <v>45850</v>
      </c>
      <c r="D81" t="inlineStr">
        <is>
          <t>ÖSTERGÖTLANDS LÄN</t>
        </is>
      </c>
      <c r="E81" t="inlineStr">
        <is>
          <t>MOTALA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36673-2019</t>
        </is>
      </c>
      <c r="B82" s="1" t="n">
        <v>43669</v>
      </c>
      <c r="C82" s="1" t="n">
        <v>45850</v>
      </c>
      <c r="D82" t="inlineStr">
        <is>
          <t>ÖSTERGÖTLANDS LÄN</t>
        </is>
      </c>
      <c r="E82" t="inlineStr">
        <is>
          <t>MOTALA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37006-2019</t>
        </is>
      </c>
      <c r="B83" s="1" t="n">
        <v>43675</v>
      </c>
      <c r="C83" s="1" t="n">
        <v>45850</v>
      </c>
      <c r="D83" t="inlineStr">
        <is>
          <t>ÖSTERGÖTLANDS LÄN</t>
        </is>
      </c>
      <c r="E83" t="inlineStr">
        <is>
          <t>MOTALA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37012-2019</t>
        </is>
      </c>
      <c r="B84" s="1" t="n">
        <v>43675</v>
      </c>
      <c r="C84" s="1" t="n">
        <v>45850</v>
      </c>
      <c r="D84" t="inlineStr">
        <is>
          <t>ÖSTERGÖTLANDS LÄN</t>
        </is>
      </c>
      <c r="E84" t="inlineStr">
        <is>
          <t>MOTALA</t>
        </is>
      </c>
      <c r="G84" t="n">
        <v>50.7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37229-2019</t>
        </is>
      </c>
      <c r="B85" s="1" t="n">
        <v>43677</v>
      </c>
      <c r="C85" s="1" t="n">
        <v>45850</v>
      </c>
      <c r="D85" t="inlineStr">
        <is>
          <t>ÖSTERGÖTLANDS LÄN</t>
        </is>
      </c>
      <c r="E85" t="inlineStr">
        <is>
          <t>MOTALA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37490-2019</t>
        </is>
      </c>
      <c r="B86" s="1" t="n">
        <v>43677</v>
      </c>
      <c r="C86" s="1" t="n">
        <v>45850</v>
      </c>
      <c r="D86" t="inlineStr">
        <is>
          <t>ÖSTERGÖTLANDS LÄN</t>
        </is>
      </c>
      <c r="E86" t="inlineStr">
        <is>
          <t>MOTALA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37492-2019</t>
        </is>
      </c>
      <c r="B87" s="1" t="n">
        <v>43677</v>
      </c>
      <c r="C87" s="1" t="n">
        <v>45850</v>
      </c>
      <c r="D87" t="inlineStr">
        <is>
          <t>ÖSTERGÖTLANDS LÄN</t>
        </is>
      </c>
      <c r="E87" t="inlineStr">
        <is>
          <t>MOTALA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37488-2019</t>
        </is>
      </c>
      <c r="B88" s="1" t="n">
        <v>43677</v>
      </c>
      <c r="C88" s="1" t="n">
        <v>45850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37564-2019</t>
        </is>
      </c>
      <c r="B89" s="1" t="n">
        <v>43678</v>
      </c>
      <c r="C89" s="1" t="n">
        <v>45850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37382-2019</t>
        </is>
      </c>
      <c r="B90" s="1" t="n">
        <v>43678</v>
      </c>
      <c r="C90" s="1" t="n">
        <v>45850</v>
      </c>
      <c r="D90" t="inlineStr">
        <is>
          <t>ÖSTERGÖTLANDS LÄN</t>
        </is>
      </c>
      <c r="E90" t="inlineStr">
        <is>
          <t>MOTALA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37567-2019</t>
        </is>
      </c>
      <c r="B91" s="1" t="n">
        <v>43678</v>
      </c>
      <c r="C91" s="1" t="n">
        <v>45850</v>
      </c>
      <c r="D91" t="inlineStr">
        <is>
          <t>ÖSTERGÖTLANDS LÄN</t>
        </is>
      </c>
      <c r="E91" t="inlineStr">
        <is>
          <t>MOTALA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37654-2019</t>
        </is>
      </c>
      <c r="B92" s="1" t="n">
        <v>43682</v>
      </c>
      <c r="C92" s="1" t="n">
        <v>45850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37934-2019</t>
        </is>
      </c>
      <c r="B93" s="1" t="n">
        <v>43683</v>
      </c>
      <c r="C93" s="1" t="n">
        <v>45850</v>
      </c>
      <c r="D93" t="inlineStr">
        <is>
          <t>ÖSTERGÖTLANDS LÄN</t>
        </is>
      </c>
      <c r="E93" t="inlineStr">
        <is>
          <t>MOTALA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37979-2019</t>
        </is>
      </c>
      <c r="B94" s="1" t="n">
        <v>43683</v>
      </c>
      <c r="C94" s="1" t="n">
        <v>45850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38028-2019</t>
        </is>
      </c>
      <c r="B95" s="1" t="n">
        <v>43683</v>
      </c>
      <c r="C95" s="1" t="n">
        <v>45850</v>
      </c>
      <c r="D95" t="inlineStr">
        <is>
          <t>ÖSTERGÖTLANDS LÄN</t>
        </is>
      </c>
      <c r="E95" t="inlineStr">
        <is>
          <t>MOTALA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38014-2019</t>
        </is>
      </c>
      <c r="B96" s="1" t="n">
        <v>43683</v>
      </c>
      <c r="C96" s="1" t="n">
        <v>45850</v>
      </c>
      <c r="D96" t="inlineStr">
        <is>
          <t>ÖSTERGÖTLANDS LÄN</t>
        </is>
      </c>
      <c r="E96" t="inlineStr">
        <is>
          <t>MOTALA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37932-2019</t>
        </is>
      </c>
      <c r="B97" s="1" t="n">
        <v>43683</v>
      </c>
      <c r="C97" s="1" t="n">
        <v>45850</v>
      </c>
      <c r="D97" t="inlineStr">
        <is>
          <t>ÖSTERGÖTLANDS LÄN</t>
        </is>
      </c>
      <c r="E97" t="inlineStr">
        <is>
          <t>MOTALA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38004-2019</t>
        </is>
      </c>
      <c r="B98" s="1" t="n">
        <v>43683</v>
      </c>
      <c r="C98" s="1" t="n">
        <v>45850</v>
      </c>
      <c r="D98" t="inlineStr">
        <is>
          <t>ÖSTERGÖTLANDS LÄN</t>
        </is>
      </c>
      <c r="E98" t="inlineStr">
        <is>
          <t>MOTALA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38437-2019</t>
        </is>
      </c>
      <c r="B99" s="1" t="n">
        <v>43685</v>
      </c>
      <c r="C99" s="1" t="n">
        <v>45850</v>
      </c>
      <c r="D99" t="inlineStr">
        <is>
          <t>ÖSTERGÖTLANDS LÄN</t>
        </is>
      </c>
      <c r="E99" t="inlineStr">
        <is>
          <t>MOTALA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39377-2019</t>
        </is>
      </c>
      <c r="B100" s="1" t="n">
        <v>43690</v>
      </c>
      <c r="C100" s="1" t="n">
        <v>45850</v>
      </c>
      <c r="D100" t="inlineStr">
        <is>
          <t>ÖSTERGÖTLANDS LÄN</t>
        </is>
      </c>
      <c r="E100" t="inlineStr">
        <is>
          <t>MOTALA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40454-2019</t>
        </is>
      </c>
      <c r="B101" s="1" t="n">
        <v>43690</v>
      </c>
      <c r="C101" s="1" t="n">
        <v>45850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40519-2019</t>
        </is>
      </c>
      <c r="B102" s="1" t="n">
        <v>43690</v>
      </c>
      <c r="C102" s="1" t="n">
        <v>45850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39831-2019</t>
        </is>
      </c>
      <c r="B103" s="1" t="n">
        <v>43692</v>
      </c>
      <c r="C103" s="1" t="n">
        <v>45850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40750-2019</t>
        </is>
      </c>
      <c r="B104" s="1" t="n">
        <v>43692</v>
      </c>
      <c r="C104" s="1" t="n">
        <v>45850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41148-2019</t>
        </is>
      </c>
      <c r="B105" s="1" t="n">
        <v>43698</v>
      </c>
      <c r="C105" s="1" t="n">
        <v>45850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41432-2019</t>
        </is>
      </c>
      <c r="B106" s="1" t="n">
        <v>43698</v>
      </c>
      <c r="C106" s="1" t="n">
        <v>45850</v>
      </c>
      <c r="D106" t="inlineStr">
        <is>
          <t>ÖSTERGÖTLANDS LÄN</t>
        </is>
      </c>
      <c r="E106" t="inlineStr">
        <is>
          <t>MOTALA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41434-2019</t>
        </is>
      </c>
      <c r="B107" s="1" t="n">
        <v>43698</v>
      </c>
      <c r="C107" s="1" t="n">
        <v>45850</v>
      </c>
      <c r="D107" t="inlineStr">
        <is>
          <t>ÖSTERGÖTLANDS LÄN</t>
        </is>
      </c>
      <c r="E107" t="inlineStr">
        <is>
          <t>MOTALA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42606-2019</t>
        </is>
      </c>
      <c r="B108" s="1" t="n">
        <v>43704</v>
      </c>
      <c r="C108" s="1" t="n">
        <v>45850</v>
      </c>
      <c r="D108" t="inlineStr">
        <is>
          <t>ÖSTERGÖTLANDS LÄN</t>
        </is>
      </c>
      <c r="E108" t="inlineStr">
        <is>
          <t>MOTALA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42840-2019</t>
        </is>
      </c>
      <c r="B109" s="1" t="n">
        <v>43705</v>
      </c>
      <c r="C109" s="1" t="n">
        <v>45850</v>
      </c>
      <c r="D109" t="inlineStr">
        <is>
          <t>ÖSTERGÖTLANDS LÄN</t>
        </is>
      </c>
      <c r="E109" t="inlineStr">
        <is>
          <t>MOTALA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43050-2019</t>
        </is>
      </c>
      <c r="B110" s="1" t="n">
        <v>43705</v>
      </c>
      <c r="C110" s="1" t="n">
        <v>45850</v>
      </c>
      <c r="D110" t="inlineStr">
        <is>
          <t>ÖSTERGÖTLANDS LÄN</t>
        </is>
      </c>
      <c r="E110" t="inlineStr">
        <is>
          <t>MOTALA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43033-2019</t>
        </is>
      </c>
      <c r="B111" s="1" t="n">
        <v>43705</v>
      </c>
      <c r="C111" s="1" t="n">
        <v>45850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43070-2019</t>
        </is>
      </c>
      <c r="B112" s="1" t="n">
        <v>43705</v>
      </c>
      <c r="C112" s="1" t="n">
        <v>45850</v>
      </c>
      <c r="D112" t="inlineStr">
        <is>
          <t>ÖSTERGÖTLANDS LÄN</t>
        </is>
      </c>
      <c r="E112" t="inlineStr">
        <is>
          <t>MOTALA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43568-2019</t>
        </is>
      </c>
      <c r="B113" s="1" t="n">
        <v>43706</v>
      </c>
      <c r="C113" s="1" t="n">
        <v>45850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45059-2019</t>
        </is>
      </c>
      <c r="B114" s="1" t="n">
        <v>43707</v>
      </c>
      <c r="C114" s="1" t="n">
        <v>45850</v>
      </c>
      <c r="D114" t="inlineStr">
        <is>
          <t>ÖSTERGÖTLANDS LÄN</t>
        </is>
      </c>
      <c r="E114" t="inlineStr">
        <is>
          <t>MOTALA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43931-2019</t>
        </is>
      </c>
      <c r="B115" s="1" t="n">
        <v>43707</v>
      </c>
      <c r="C115" s="1" t="n">
        <v>45850</v>
      </c>
      <c r="D115" t="inlineStr">
        <is>
          <t>ÖSTERGÖTLANDS LÄN</t>
        </is>
      </c>
      <c r="E115" t="inlineStr">
        <is>
          <t>MOTALA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44122-2019</t>
        </is>
      </c>
      <c r="B116" s="1" t="n">
        <v>43710</v>
      </c>
      <c r="C116" s="1" t="n">
        <v>45850</v>
      </c>
      <c r="D116" t="inlineStr">
        <is>
          <t>ÖSTERGÖTLANDS LÄN</t>
        </is>
      </c>
      <c r="E116" t="inlineStr">
        <is>
          <t>MOTALA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44206-2019</t>
        </is>
      </c>
      <c r="B117" s="1" t="n">
        <v>43710</v>
      </c>
      <c r="C117" s="1" t="n">
        <v>45850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44947-2019</t>
        </is>
      </c>
      <c r="B118" s="1" t="n">
        <v>43713</v>
      </c>
      <c r="C118" s="1" t="n">
        <v>45850</v>
      </c>
      <c r="D118" t="inlineStr">
        <is>
          <t>ÖSTERGÖTLANDS LÄN</t>
        </is>
      </c>
      <c r="E118" t="inlineStr">
        <is>
          <t>MOTALA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44938-2019</t>
        </is>
      </c>
      <c r="B119" s="1" t="n">
        <v>43713</v>
      </c>
      <c r="C119" s="1" t="n">
        <v>45850</v>
      </c>
      <c r="D119" t="inlineStr">
        <is>
          <t>ÖSTERGÖTLANDS LÄN</t>
        </is>
      </c>
      <c r="E119" t="inlineStr">
        <is>
          <t>MOTALA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45301-2019</t>
        </is>
      </c>
      <c r="B120" s="1" t="n">
        <v>43714</v>
      </c>
      <c r="C120" s="1" t="n">
        <v>45850</v>
      </c>
      <c r="D120" t="inlineStr">
        <is>
          <t>ÖSTERGÖTLANDS LÄN</t>
        </is>
      </c>
      <c r="E120" t="inlineStr">
        <is>
          <t>MOTALA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45724-2019</t>
        </is>
      </c>
      <c r="B121" s="1" t="n">
        <v>43716</v>
      </c>
      <c r="C121" s="1" t="n">
        <v>45850</v>
      </c>
      <c r="D121" t="inlineStr">
        <is>
          <t>ÖSTERGÖTLANDS LÄN</t>
        </is>
      </c>
      <c r="E121" t="inlineStr">
        <is>
          <t>MOTALA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45603-2019</t>
        </is>
      </c>
      <c r="B122" s="1" t="n">
        <v>43717</v>
      </c>
      <c r="C122" s="1" t="n">
        <v>45850</v>
      </c>
      <c r="D122" t="inlineStr">
        <is>
          <t>ÖSTERGÖTLANDS LÄN</t>
        </is>
      </c>
      <c r="E122" t="inlineStr">
        <is>
          <t>MOTALA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47165-2019</t>
        </is>
      </c>
      <c r="B123" s="1" t="n">
        <v>43720</v>
      </c>
      <c r="C123" s="1" t="n">
        <v>45850</v>
      </c>
      <c r="D123" t="inlineStr">
        <is>
          <t>ÖSTERGÖTLANDS LÄN</t>
        </is>
      </c>
      <c r="E123" t="inlineStr">
        <is>
          <t>MOTALA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47347-2019</t>
        </is>
      </c>
      <c r="B124" s="1" t="n">
        <v>43721</v>
      </c>
      <c r="C124" s="1" t="n">
        <v>45850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47348-2019</t>
        </is>
      </c>
      <c r="B125" s="1" t="n">
        <v>43721</v>
      </c>
      <c r="C125" s="1" t="n">
        <v>45850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47669-2019</t>
        </is>
      </c>
      <c r="B126" s="1" t="n">
        <v>43724</v>
      </c>
      <c r="C126" s="1" t="n">
        <v>45850</v>
      </c>
      <c r="D126" t="inlineStr">
        <is>
          <t>ÖSTERGÖTLANDS LÄN</t>
        </is>
      </c>
      <c r="E126" t="inlineStr">
        <is>
          <t>MOTALA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47873-2019</t>
        </is>
      </c>
      <c r="B127" s="1" t="n">
        <v>43724</v>
      </c>
      <c r="C127" s="1" t="n">
        <v>45850</v>
      </c>
      <c r="D127" t="inlineStr">
        <is>
          <t>ÖSTERGÖTLANDS LÄN</t>
        </is>
      </c>
      <c r="E127" t="inlineStr">
        <is>
          <t>MOTALA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48368-2019</t>
        </is>
      </c>
      <c r="B128" s="1" t="n">
        <v>43726</v>
      </c>
      <c r="C128" s="1" t="n">
        <v>45850</v>
      </c>
      <c r="D128" t="inlineStr">
        <is>
          <t>ÖSTERGÖTLANDS LÄN</t>
        </is>
      </c>
      <c r="E128" t="inlineStr">
        <is>
          <t>MOTALA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49007-2019</t>
        </is>
      </c>
      <c r="B129" s="1" t="n">
        <v>43730</v>
      </c>
      <c r="C129" s="1" t="n">
        <v>45850</v>
      </c>
      <c r="D129" t="inlineStr">
        <is>
          <t>ÖSTERGÖTLANDS LÄN</t>
        </is>
      </c>
      <c r="E129" t="inlineStr">
        <is>
          <t>MOTALA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49635-2019</t>
        </is>
      </c>
      <c r="B130" s="1" t="n">
        <v>43732</v>
      </c>
      <c r="C130" s="1" t="n">
        <v>45850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49540-2019</t>
        </is>
      </c>
      <c r="B131" s="1" t="n">
        <v>43732</v>
      </c>
      <c r="C131" s="1" t="n">
        <v>45850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49796-2019</t>
        </is>
      </c>
      <c r="B132" s="1" t="n">
        <v>43733</v>
      </c>
      <c r="C132" s="1" t="n">
        <v>45850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50459-2019</t>
        </is>
      </c>
      <c r="B133" s="1" t="n">
        <v>43735</v>
      </c>
      <c r="C133" s="1" t="n">
        <v>45850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50455-2019</t>
        </is>
      </c>
      <c r="B134" s="1" t="n">
        <v>43735</v>
      </c>
      <c r="C134" s="1" t="n">
        <v>45850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50959-2019</t>
        </is>
      </c>
      <c r="B135" s="1" t="n">
        <v>43738</v>
      </c>
      <c r="C135" s="1" t="n">
        <v>45850</v>
      </c>
      <c r="D135" t="inlineStr">
        <is>
          <t>ÖSTERGÖTLANDS LÄN</t>
        </is>
      </c>
      <c r="E135" t="inlineStr">
        <is>
          <t>MOTALA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50962-2019</t>
        </is>
      </c>
      <c r="B136" s="1" t="n">
        <v>43738</v>
      </c>
      <c r="C136" s="1" t="n">
        <v>45850</v>
      </c>
      <c r="D136" t="inlineStr">
        <is>
          <t>ÖSTERGÖTLANDS LÄN</t>
        </is>
      </c>
      <c r="E136" t="inlineStr">
        <is>
          <t>MOTALA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50686-2019</t>
        </is>
      </c>
      <c r="B137" s="1" t="n">
        <v>43738</v>
      </c>
      <c r="C137" s="1" t="n">
        <v>45850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51194-2019</t>
        </is>
      </c>
      <c r="B138" s="1" t="n">
        <v>43739</v>
      </c>
      <c r="C138" s="1" t="n">
        <v>45850</v>
      </c>
      <c r="D138" t="inlineStr">
        <is>
          <t>ÖSTERGÖTLANDS LÄN</t>
        </is>
      </c>
      <c r="E138" t="inlineStr">
        <is>
          <t>MOTALA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52297-2019</t>
        </is>
      </c>
      <c r="B139" s="1" t="n">
        <v>43745</v>
      </c>
      <c r="C139" s="1" t="n">
        <v>45850</v>
      </c>
      <c r="D139" t="inlineStr">
        <is>
          <t>ÖSTERGÖTLANDS LÄN</t>
        </is>
      </c>
      <c r="E139" t="inlineStr">
        <is>
          <t>MOTALA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52786-2019</t>
        </is>
      </c>
      <c r="B140" s="1" t="n">
        <v>43746</v>
      </c>
      <c r="C140" s="1" t="n">
        <v>45850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52784-2019</t>
        </is>
      </c>
      <c r="B141" s="1" t="n">
        <v>43746</v>
      </c>
      <c r="C141" s="1" t="n">
        <v>45850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52781-2019</t>
        </is>
      </c>
      <c r="B142" s="1" t="n">
        <v>43746</v>
      </c>
      <c r="C142" s="1" t="n">
        <v>45850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53523-2019</t>
        </is>
      </c>
      <c r="B143" s="1" t="n">
        <v>43749</v>
      </c>
      <c r="C143" s="1" t="n">
        <v>45850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53524-2019</t>
        </is>
      </c>
      <c r="B144" s="1" t="n">
        <v>43749</v>
      </c>
      <c r="C144" s="1" t="n">
        <v>45850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53522-2019</t>
        </is>
      </c>
      <c r="B145" s="1" t="n">
        <v>43749</v>
      </c>
      <c r="C145" s="1" t="n">
        <v>45850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53539-2019</t>
        </is>
      </c>
      <c r="B146" s="1" t="n">
        <v>43749</v>
      </c>
      <c r="C146" s="1" t="n">
        <v>45850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53763-2019</t>
        </is>
      </c>
      <c r="B147" s="1" t="n">
        <v>43750</v>
      </c>
      <c r="C147" s="1" t="n">
        <v>45850</v>
      </c>
      <c r="D147" t="inlineStr">
        <is>
          <t>ÖSTERGÖTLANDS LÄN</t>
        </is>
      </c>
      <c r="E147" t="inlineStr">
        <is>
          <t>MOTALA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54341-2019</t>
        </is>
      </c>
      <c r="B148" s="1" t="n">
        <v>43753</v>
      </c>
      <c r="C148" s="1" t="n">
        <v>45850</v>
      </c>
      <c r="D148" t="inlineStr">
        <is>
          <t>ÖSTERGÖTLANDS LÄN</t>
        </is>
      </c>
      <c r="E148" t="inlineStr">
        <is>
          <t>MOTALA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54217-2019</t>
        </is>
      </c>
      <c r="B149" s="1" t="n">
        <v>43753</v>
      </c>
      <c r="C149" s="1" t="n">
        <v>45850</v>
      </c>
      <c r="D149" t="inlineStr">
        <is>
          <t>ÖSTERGÖTLANDS LÄN</t>
        </is>
      </c>
      <c r="E149" t="inlineStr">
        <is>
          <t>MOTALA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54345-2019</t>
        </is>
      </c>
      <c r="B150" s="1" t="n">
        <v>43753</v>
      </c>
      <c r="C150" s="1" t="n">
        <v>45850</v>
      </c>
      <c r="D150" t="inlineStr">
        <is>
          <t>ÖSTERGÖTLANDS LÄN</t>
        </is>
      </c>
      <c r="E150" t="inlineStr">
        <is>
          <t>MOTALA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54482-2019</t>
        </is>
      </c>
      <c r="B151" s="1" t="n">
        <v>43754</v>
      </c>
      <c r="C151" s="1" t="n">
        <v>45850</v>
      </c>
      <c r="D151" t="inlineStr">
        <is>
          <t>ÖSTERGÖTLANDS LÄN</t>
        </is>
      </c>
      <c r="E151" t="inlineStr">
        <is>
          <t>MOTALA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54751-2019</t>
        </is>
      </c>
      <c r="B152" s="1" t="n">
        <v>43755</v>
      </c>
      <c r="C152" s="1" t="n">
        <v>45850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54803-2019</t>
        </is>
      </c>
      <c r="B153" s="1" t="n">
        <v>43755</v>
      </c>
      <c r="C153" s="1" t="n">
        <v>45850</v>
      </c>
      <c r="D153" t="inlineStr">
        <is>
          <t>ÖSTERGÖTLANDS LÄN</t>
        </is>
      </c>
      <c r="E153" t="inlineStr">
        <is>
          <t>MOTALA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54724-2019</t>
        </is>
      </c>
      <c r="B154" s="1" t="n">
        <v>43755</v>
      </c>
      <c r="C154" s="1" t="n">
        <v>45850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54714-2019</t>
        </is>
      </c>
      <c r="B155" s="1" t="n">
        <v>43755</v>
      </c>
      <c r="C155" s="1" t="n">
        <v>45850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55114-2019</t>
        </is>
      </c>
      <c r="B156" s="1" t="n">
        <v>43756</v>
      </c>
      <c r="C156" s="1" t="n">
        <v>45850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55532-2019</t>
        </is>
      </c>
      <c r="B157" s="1" t="n">
        <v>43760</v>
      </c>
      <c r="C157" s="1" t="n">
        <v>45850</v>
      </c>
      <c r="D157" t="inlineStr">
        <is>
          <t>ÖSTERGÖTLANDS LÄN</t>
        </is>
      </c>
      <c r="E157" t="inlineStr">
        <is>
          <t>MOTALA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55835-2019</t>
        </is>
      </c>
      <c r="B158" s="1" t="n">
        <v>43761</v>
      </c>
      <c r="C158" s="1" t="n">
        <v>45850</v>
      </c>
      <c r="D158" t="inlineStr">
        <is>
          <t>ÖSTERGÖTLANDS LÄN</t>
        </is>
      </c>
      <c r="E158" t="inlineStr">
        <is>
          <t>MOTALA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56929-2019</t>
        </is>
      </c>
      <c r="B159" s="1" t="n">
        <v>43763</v>
      </c>
      <c r="C159" s="1" t="n">
        <v>45850</v>
      </c>
      <c r="D159" t="inlineStr">
        <is>
          <t>ÖSTERGÖTLANDS LÄN</t>
        </is>
      </c>
      <c r="E159" t="inlineStr">
        <is>
          <t>MOTALA</t>
        </is>
      </c>
      <c r="G159" t="n">
        <v>23.5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57428-2019</t>
        </is>
      </c>
      <c r="B160" s="1" t="n">
        <v>43767</v>
      </c>
      <c r="C160" s="1" t="n">
        <v>45850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58839-2019</t>
        </is>
      </c>
      <c r="B161" s="1" t="n">
        <v>43774</v>
      </c>
      <c r="C161" s="1" t="n">
        <v>45850</v>
      </c>
      <c r="D161" t="inlineStr">
        <is>
          <t>ÖSTERGÖTLANDS LÄN</t>
        </is>
      </c>
      <c r="E161" t="inlineStr">
        <is>
          <t>MOTALA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59583-2019</t>
        </is>
      </c>
      <c r="B162" s="1" t="n">
        <v>43776</v>
      </c>
      <c r="C162" s="1" t="n">
        <v>45850</v>
      </c>
      <c r="D162" t="inlineStr">
        <is>
          <t>ÖSTERGÖTLANDS LÄN</t>
        </is>
      </c>
      <c r="E162" t="inlineStr">
        <is>
          <t>MOTALA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59609-2019</t>
        </is>
      </c>
      <c r="B163" s="1" t="n">
        <v>43776</v>
      </c>
      <c r="C163" s="1" t="n">
        <v>45850</v>
      </c>
      <c r="D163" t="inlineStr">
        <is>
          <t>ÖSTERGÖTLANDS LÄN</t>
        </is>
      </c>
      <c r="E163" t="inlineStr">
        <is>
          <t>MOTALA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60153-2019</t>
        </is>
      </c>
      <c r="B164" s="1" t="n">
        <v>43779</v>
      </c>
      <c r="C164" s="1" t="n">
        <v>45850</v>
      </c>
      <c r="D164" t="inlineStr">
        <is>
          <t>ÖSTERGÖTLANDS LÄN</t>
        </is>
      </c>
      <c r="E164" t="inlineStr">
        <is>
          <t>MOTALA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60791-2019</t>
        </is>
      </c>
      <c r="B165" s="1" t="n">
        <v>43781</v>
      </c>
      <c r="C165" s="1" t="n">
        <v>45850</v>
      </c>
      <c r="D165" t="inlineStr">
        <is>
          <t>ÖSTERGÖTLANDS LÄN</t>
        </is>
      </c>
      <c r="E165" t="inlineStr">
        <is>
          <t>MOTALA</t>
        </is>
      </c>
      <c r="G165" t="n">
        <v>28.7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60986-2019</t>
        </is>
      </c>
      <c r="B166" s="1" t="n">
        <v>43782</v>
      </c>
      <c r="C166" s="1" t="n">
        <v>45850</v>
      </c>
      <c r="D166" t="inlineStr">
        <is>
          <t>ÖSTERGÖTLANDS LÄN</t>
        </is>
      </c>
      <c r="E166" t="inlineStr">
        <is>
          <t>MOTALA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61294-2019</t>
        </is>
      </c>
      <c r="B167" s="1" t="n">
        <v>43783</v>
      </c>
      <c r="C167" s="1" t="n">
        <v>45850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61308-2019</t>
        </is>
      </c>
      <c r="B168" s="1" t="n">
        <v>43783</v>
      </c>
      <c r="C168" s="1" t="n">
        <v>45850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62813-2019</t>
        </is>
      </c>
      <c r="B169" s="1" t="n">
        <v>43790</v>
      </c>
      <c r="C169" s="1" t="n">
        <v>45850</v>
      </c>
      <c r="D169" t="inlineStr">
        <is>
          <t>ÖSTERGÖTLANDS LÄN</t>
        </is>
      </c>
      <c r="E169" t="inlineStr">
        <is>
          <t>MOTALA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63059-2019</t>
        </is>
      </c>
      <c r="B170" s="1" t="n">
        <v>43791</v>
      </c>
      <c r="C170" s="1" t="n">
        <v>45850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63900-2019</t>
        </is>
      </c>
      <c r="B171" s="1" t="n">
        <v>43795</v>
      </c>
      <c r="C171" s="1" t="n">
        <v>45850</v>
      </c>
      <c r="D171" t="inlineStr">
        <is>
          <t>ÖSTERGÖTLANDS LÄN</t>
        </is>
      </c>
      <c r="E171" t="inlineStr">
        <is>
          <t>MOTALA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64674-2019</t>
        </is>
      </c>
      <c r="B172" s="1" t="n">
        <v>43798</v>
      </c>
      <c r="C172" s="1" t="n">
        <v>45850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64508-2019</t>
        </is>
      </c>
      <c r="B173" s="1" t="n">
        <v>43798</v>
      </c>
      <c r="C173" s="1" t="n">
        <v>45850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64589-2019</t>
        </is>
      </c>
      <c r="B174" s="1" t="n">
        <v>43798</v>
      </c>
      <c r="C174" s="1" t="n">
        <v>45850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64564-2019</t>
        </is>
      </c>
      <c r="B175" s="1" t="n">
        <v>43798</v>
      </c>
      <c r="C175" s="1" t="n">
        <v>45850</v>
      </c>
      <c r="D175" t="inlineStr">
        <is>
          <t>ÖSTERGÖTLANDS LÄN</t>
        </is>
      </c>
      <c r="E175" t="inlineStr">
        <is>
          <t>MOTALA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65276-2019</t>
        </is>
      </c>
      <c r="B176" s="1" t="n">
        <v>43802</v>
      </c>
      <c r="C176" s="1" t="n">
        <v>45850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65260-2019</t>
        </is>
      </c>
      <c r="B177" s="1" t="n">
        <v>43802</v>
      </c>
      <c r="C177" s="1" t="n">
        <v>45850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65287-2019</t>
        </is>
      </c>
      <c r="B178" s="1" t="n">
        <v>43802</v>
      </c>
      <c r="C178" s="1" t="n">
        <v>45850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65891-2019</t>
        </is>
      </c>
      <c r="B179" s="1" t="n">
        <v>43805</v>
      </c>
      <c r="C179" s="1" t="n">
        <v>45850</v>
      </c>
      <c r="D179" t="inlineStr">
        <is>
          <t>ÖSTERGÖTLANDS LÄN</t>
        </is>
      </c>
      <c r="E179" t="inlineStr">
        <is>
          <t>MOTALA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66217-2019</t>
        </is>
      </c>
      <c r="B180" s="1" t="n">
        <v>43808</v>
      </c>
      <c r="C180" s="1" t="n">
        <v>45850</v>
      </c>
      <c r="D180" t="inlineStr">
        <is>
          <t>ÖSTERGÖTLANDS LÄN</t>
        </is>
      </c>
      <c r="E180" t="inlineStr">
        <is>
          <t>MOTALA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67157-2019</t>
        </is>
      </c>
      <c r="B181" s="1" t="n">
        <v>43811</v>
      </c>
      <c r="C181" s="1" t="n">
        <v>45850</v>
      </c>
      <c r="D181" t="inlineStr">
        <is>
          <t>ÖSTERGÖTLANDS LÄN</t>
        </is>
      </c>
      <c r="E181" t="inlineStr">
        <is>
          <t>MOTALA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67444-2019</t>
        </is>
      </c>
      <c r="B182" s="1" t="n">
        <v>43812</v>
      </c>
      <c r="C182" s="1" t="n">
        <v>45850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68058-2019</t>
        </is>
      </c>
      <c r="B183" s="1" t="n">
        <v>43816</v>
      </c>
      <c r="C183" s="1" t="n">
        <v>45850</v>
      </c>
      <c r="D183" t="inlineStr">
        <is>
          <t>ÖSTERGÖTLANDS LÄN</t>
        </is>
      </c>
      <c r="E183" t="inlineStr">
        <is>
          <t>MOTALA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68057-2019</t>
        </is>
      </c>
      <c r="B184" s="1" t="n">
        <v>43816</v>
      </c>
      <c r="C184" s="1" t="n">
        <v>45850</v>
      </c>
      <c r="D184" t="inlineStr">
        <is>
          <t>ÖSTERGÖTLANDS LÄN</t>
        </is>
      </c>
      <c r="E184" t="inlineStr">
        <is>
          <t>MOTALA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69084-2019</t>
        </is>
      </c>
      <c r="B185" s="1" t="n">
        <v>43828</v>
      </c>
      <c r="C185" s="1" t="n">
        <v>45850</v>
      </c>
      <c r="D185" t="inlineStr">
        <is>
          <t>ÖSTERGÖTLANDS LÄN</t>
        </is>
      </c>
      <c r="E185" t="inlineStr">
        <is>
          <t>MOTALA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58-2020</t>
        </is>
      </c>
      <c r="B186" s="1" t="n">
        <v>43832</v>
      </c>
      <c r="C186" s="1" t="n">
        <v>45850</v>
      </c>
      <c r="D186" t="inlineStr">
        <is>
          <t>ÖSTERGÖTLANDS LÄN</t>
        </is>
      </c>
      <c r="E186" t="inlineStr">
        <is>
          <t>MOTALA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3413-2020</t>
        </is>
      </c>
      <c r="B187" s="1" t="n">
        <v>43844</v>
      </c>
      <c r="C187" s="1" t="n">
        <v>45850</v>
      </c>
      <c r="D187" t="inlineStr">
        <is>
          <t>ÖSTERGÖTLANDS LÄN</t>
        </is>
      </c>
      <c r="E187" t="inlineStr">
        <is>
          <t>MOTALA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4922-2020</t>
        </is>
      </c>
      <c r="B188" s="1" t="n">
        <v>43859</v>
      </c>
      <c r="C188" s="1" t="n">
        <v>45850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4919-2020</t>
        </is>
      </c>
      <c r="B189" s="1" t="n">
        <v>43859</v>
      </c>
      <c r="C189" s="1" t="n">
        <v>45850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4917-2020</t>
        </is>
      </c>
      <c r="B190" s="1" t="n">
        <v>43859</v>
      </c>
      <c r="C190" s="1" t="n">
        <v>45850</v>
      </c>
      <c r="D190" t="inlineStr">
        <is>
          <t>ÖSTERGÖTLANDS LÄN</t>
        </is>
      </c>
      <c r="E190" t="inlineStr">
        <is>
          <t>MOTALA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4927-2020</t>
        </is>
      </c>
      <c r="B191" s="1" t="n">
        <v>43859</v>
      </c>
      <c r="C191" s="1" t="n">
        <v>45850</v>
      </c>
      <c r="D191" t="inlineStr">
        <is>
          <t>ÖSTERGÖTLANDS LÄN</t>
        </is>
      </c>
      <c r="E191" t="inlineStr">
        <is>
          <t>MOTALA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4923-2020</t>
        </is>
      </c>
      <c r="B192" s="1" t="n">
        <v>43859</v>
      </c>
      <c r="C192" s="1" t="n">
        <v>45850</v>
      </c>
      <c r="D192" t="inlineStr">
        <is>
          <t>ÖSTERGÖTLANDS LÄN</t>
        </is>
      </c>
      <c r="E192" t="inlineStr">
        <is>
          <t>MOTALA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6528-2020</t>
        </is>
      </c>
      <c r="B193" s="1" t="n">
        <v>43866</v>
      </c>
      <c r="C193" s="1" t="n">
        <v>45850</v>
      </c>
      <c r="D193" t="inlineStr">
        <is>
          <t>ÖSTERGÖTLANDS LÄN</t>
        </is>
      </c>
      <c r="E193" t="inlineStr">
        <is>
          <t>MOTALA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8152-2020</t>
        </is>
      </c>
      <c r="B194" s="1" t="n">
        <v>43874</v>
      </c>
      <c r="C194" s="1" t="n">
        <v>45850</v>
      </c>
      <c r="D194" t="inlineStr">
        <is>
          <t>ÖSTERGÖTLANDS LÄN</t>
        </is>
      </c>
      <c r="E194" t="inlineStr">
        <is>
          <t>MOTALA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8188-2020</t>
        </is>
      </c>
      <c r="B195" s="1" t="n">
        <v>43874</v>
      </c>
      <c r="C195" s="1" t="n">
        <v>45850</v>
      </c>
      <c r="D195" t="inlineStr">
        <is>
          <t>ÖSTERGÖTLANDS LÄN</t>
        </is>
      </c>
      <c r="E195" t="inlineStr">
        <is>
          <t>MOTALA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8192-2020</t>
        </is>
      </c>
      <c r="B196" s="1" t="n">
        <v>43874</v>
      </c>
      <c r="C196" s="1" t="n">
        <v>45850</v>
      </c>
      <c r="D196" t="inlineStr">
        <is>
          <t>ÖSTERGÖTLANDS LÄN</t>
        </is>
      </c>
      <c r="E196" t="inlineStr">
        <is>
          <t>MOTALA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8330-2020</t>
        </is>
      </c>
      <c r="B197" s="1" t="n">
        <v>43874</v>
      </c>
      <c r="C197" s="1" t="n">
        <v>45850</v>
      </c>
      <c r="D197" t="inlineStr">
        <is>
          <t>ÖSTERGÖTLANDS LÄN</t>
        </is>
      </c>
      <c r="E197" t="inlineStr">
        <is>
          <t>MOTALA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9458-2020</t>
        </is>
      </c>
      <c r="B198" s="1" t="n">
        <v>43880</v>
      </c>
      <c r="C198" s="1" t="n">
        <v>45850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9457-2020</t>
        </is>
      </c>
      <c r="B199" s="1" t="n">
        <v>43880</v>
      </c>
      <c r="C199" s="1" t="n">
        <v>45850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9454-2020</t>
        </is>
      </c>
      <c r="B200" s="1" t="n">
        <v>43880</v>
      </c>
      <c r="C200" s="1" t="n">
        <v>45850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9456-2020</t>
        </is>
      </c>
      <c r="B201" s="1" t="n">
        <v>43880</v>
      </c>
      <c r="C201" s="1" t="n">
        <v>45850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9999-2020</t>
        </is>
      </c>
      <c r="B202" s="1" t="n">
        <v>43882</v>
      </c>
      <c r="C202" s="1" t="n">
        <v>45850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10210-2020</t>
        </is>
      </c>
      <c r="B203" s="1" t="n">
        <v>43885</v>
      </c>
      <c r="C203" s="1" t="n">
        <v>45850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10385-2020</t>
        </is>
      </c>
      <c r="B204" s="1" t="n">
        <v>43885</v>
      </c>
      <c r="C204" s="1" t="n">
        <v>45850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10095-2020</t>
        </is>
      </c>
      <c r="B205" s="1" t="n">
        <v>43887</v>
      </c>
      <c r="C205" s="1" t="n">
        <v>45850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10100-2020</t>
        </is>
      </c>
      <c r="B206" s="1" t="n">
        <v>43887</v>
      </c>
      <c r="C206" s="1" t="n">
        <v>45850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10101-2020</t>
        </is>
      </c>
      <c r="B207" s="1" t="n">
        <v>43887</v>
      </c>
      <c r="C207" s="1" t="n">
        <v>45850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10109-2020</t>
        </is>
      </c>
      <c r="B208" s="1" t="n">
        <v>43887</v>
      </c>
      <c r="C208" s="1" t="n">
        <v>45850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11747-2020</t>
        </is>
      </c>
      <c r="B209" s="1" t="n">
        <v>43894</v>
      </c>
      <c r="C209" s="1" t="n">
        <v>45850</v>
      </c>
      <c r="D209" t="inlineStr">
        <is>
          <t>ÖSTERGÖTLANDS LÄN</t>
        </is>
      </c>
      <c r="E209" t="inlineStr">
        <is>
          <t>MOTALA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11950-2020</t>
        </is>
      </c>
      <c r="B210" s="1" t="n">
        <v>43894</v>
      </c>
      <c r="C210" s="1" t="n">
        <v>45850</v>
      </c>
      <c r="D210" t="inlineStr">
        <is>
          <t>ÖSTERGÖTLANDS LÄN</t>
        </is>
      </c>
      <c r="E210" t="inlineStr">
        <is>
          <t>MOTALA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12545-2020</t>
        </is>
      </c>
      <c r="B211" s="1" t="n">
        <v>43897</v>
      </c>
      <c r="C211" s="1" t="n">
        <v>45850</v>
      </c>
      <c r="D211" t="inlineStr">
        <is>
          <t>ÖSTERGÖTLANDS LÄN</t>
        </is>
      </c>
      <c r="E211" t="inlineStr">
        <is>
          <t>MOTALA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12734-2020</t>
        </is>
      </c>
      <c r="B212" s="1" t="n">
        <v>43899</v>
      </c>
      <c r="C212" s="1" t="n">
        <v>45850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12782-2020</t>
        </is>
      </c>
      <c r="B213" s="1" t="n">
        <v>43899</v>
      </c>
      <c r="C213" s="1" t="n">
        <v>45850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12690-2020</t>
        </is>
      </c>
      <c r="B214" s="1" t="n">
        <v>43899</v>
      </c>
      <c r="C214" s="1" t="n">
        <v>45850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12692-2020</t>
        </is>
      </c>
      <c r="B215" s="1" t="n">
        <v>43899</v>
      </c>
      <c r="C215" s="1" t="n">
        <v>45850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12701-2020</t>
        </is>
      </c>
      <c r="B216" s="1" t="n">
        <v>43899</v>
      </c>
      <c r="C216" s="1" t="n">
        <v>45850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13252-2020</t>
        </is>
      </c>
      <c r="B217" s="1" t="n">
        <v>43901</v>
      </c>
      <c r="C217" s="1" t="n">
        <v>45850</v>
      </c>
      <c r="D217" t="inlineStr">
        <is>
          <t>ÖSTERGÖTLANDS LÄN</t>
        </is>
      </c>
      <c r="E217" t="inlineStr">
        <is>
          <t>MOTALA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13093-2020</t>
        </is>
      </c>
      <c r="B218" s="1" t="n">
        <v>43901</v>
      </c>
      <c r="C218" s="1" t="n">
        <v>45850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13156-2020</t>
        </is>
      </c>
      <c r="B219" s="1" t="n">
        <v>43901</v>
      </c>
      <c r="C219" s="1" t="n">
        <v>45850</v>
      </c>
      <c r="D219" t="inlineStr">
        <is>
          <t>ÖSTERGÖTLANDS LÄN</t>
        </is>
      </c>
      <c r="E219" t="inlineStr">
        <is>
          <t>MOTALA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13811-2020</t>
        </is>
      </c>
      <c r="B220" s="1" t="n">
        <v>43905</v>
      </c>
      <c r="C220" s="1" t="n">
        <v>45850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13814-2020</t>
        </is>
      </c>
      <c r="B221" s="1" t="n">
        <v>43905</v>
      </c>
      <c r="C221" s="1" t="n">
        <v>45850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13970-2020</t>
        </is>
      </c>
      <c r="B222" s="1" t="n">
        <v>43906</v>
      </c>
      <c r="C222" s="1" t="n">
        <v>45850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13966-2020</t>
        </is>
      </c>
      <c r="B223" s="1" t="n">
        <v>43906</v>
      </c>
      <c r="C223" s="1" t="n">
        <v>45850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14440-2020</t>
        </is>
      </c>
      <c r="B224" s="1" t="n">
        <v>43908</v>
      </c>
      <c r="C224" s="1" t="n">
        <v>45850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16204-2020</t>
        </is>
      </c>
      <c r="B225" s="1" t="n">
        <v>43917</v>
      </c>
      <c r="C225" s="1" t="n">
        <v>45850</v>
      </c>
      <c r="D225" t="inlineStr">
        <is>
          <t>ÖSTERGÖTLANDS LÄN</t>
        </is>
      </c>
      <c r="E225" t="inlineStr">
        <is>
          <t>MOTALA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16659-2020</t>
        </is>
      </c>
      <c r="B226" s="1" t="n">
        <v>43920</v>
      </c>
      <c r="C226" s="1" t="n">
        <v>45850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16613-2020</t>
        </is>
      </c>
      <c r="B227" s="1" t="n">
        <v>43920</v>
      </c>
      <c r="C227" s="1" t="n">
        <v>45850</v>
      </c>
      <c r="D227" t="inlineStr">
        <is>
          <t>ÖSTERGÖTLANDS LÄN</t>
        </is>
      </c>
      <c r="E227" t="inlineStr">
        <is>
          <t>MOTALA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18639-2020</t>
        </is>
      </c>
      <c r="B228" s="1" t="n">
        <v>43928</v>
      </c>
      <c r="C228" s="1" t="n">
        <v>45850</v>
      </c>
      <c r="D228" t="inlineStr">
        <is>
          <t>ÖSTERGÖTLANDS LÄN</t>
        </is>
      </c>
      <c r="E228" t="inlineStr">
        <is>
          <t>MOTALA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19192-2020</t>
        </is>
      </c>
      <c r="B229" s="1" t="n">
        <v>43937</v>
      </c>
      <c r="C229" s="1" t="n">
        <v>45850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19962-2020</t>
        </is>
      </c>
      <c r="B230" s="1" t="n">
        <v>43942</v>
      </c>
      <c r="C230" s="1" t="n">
        <v>45850</v>
      </c>
      <c r="D230" t="inlineStr">
        <is>
          <t>ÖSTERGÖTLANDS LÄN</t>
        </is>
      </c>
      <c r="E230" t="inlineStr">
        <is>
          <t>MOTALA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20036-2020</t>
        </is>
      </c>
      <c r="B231" s="1" t="n">
        <v>43943</v>
      </c>
      <c r="C231" s="1" t="n">
        <v>45850</v>
      </c>
      <c r="D231" t="inlineStr">
        <is>
          <t>ÖSTERGÖTLANDS LÄN</t>
        </is>
      </c>
      <c r="E231" t="inlineStr">
        <is>
          <t>MOTALA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20307-2020</t>
        </is>
      </c>
      <c r="B232" s="1" t="n">
        <v>43944</v>
      </c>
      <c r="C232" s="1" t="n">
        <v>45850</v>
      </c>
      <c r="D232" t="inlineStr">
        <is>
          <t>ÖSTERGÖTLANDS LÄN</t>
        </is>
      </c>
      <c r="E232" t="inlineStr">
        <is>
          <t>MOTALA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20907-2020</t>
        </is>
      </c>
      <c r="B233" s="1" t="n">
        <v>43950</v>
      </c>
      <c r="C233" s="1" t="n">
        <v>45850</v>
      </c>
      <c r="D233" t="inlineStr">
        <is>
          <t>ÖSTERGÖTLANDS LÄN</t>
        </is>
      </c>
      <c r="E233" t="inlineStr">
        <is>
          <t>MOTALA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21086-2020</t>
        </is>
      </c>
      <c r="B234" s="1" t="n">
        <v>43951</v>
      </c>
      <c r="C234" s="1" t="n">
        <v>45850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21100-2020</t>
        </is>
      </c>
      <c r="B235" s="1" t="n">
        <v>43951</v>
      </c>
      <c r="C235" s="1" t="n">
        <v>45850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21105-2020</t>
        </is>
      </c>
      <c r="B236" s="1" t="n">
        <v>43951</v>
      </c>
      <c r="C236" s="1" t="n">
        <v>45850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21117-2020</t>
        </is>
      </c>
      <c r="B237" s="1" t="n">
        <v>43951</v>
      </c>
      <c r="C237" s="1" t="n">
        <v>45850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21090-2020</t>
        </is>
      </c>
      <c r="B238" s="1" t="n">
        <v>43951</v>
      </c>
      <c r="C238" s="1" t="n">
        <v>45850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21104-2020</t>
        </is>
      </c>
      <c r="B239" s="1" t="n">
        <v>43951</v>
      </c>
      <c r="C239" s="1" t="n">
        <v>45850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21111-2020</t>
        </is>
      </c>
      <c r="B240" s="1" t="n">
        <v>43951</v>
      </c>
      <c r="C240" s="1" t="n">
        <v>45850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21088-2020</t>
        </is>
      </c>
      <c r="B241" s="1" t="n">
        <v>43951</v>
      </c>
      <c r="C241" s="1" t="n">
        <v>45850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21108-2020</t>
        </is>
      </c>
      <c r="B242" s="1" t="n">
        <v>43951</v>
      </c>
      <c r="C242" s="1" t="n">
        <v>45850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22595-2020</t>
        </is>
      </c>
      <c r="B243" s="1" t="n">
        <v>43963</v>
      </c>
      <c r="C243" s="1" t="n">
        <v>45850</v>
      </c>
      <c r="D243" t="inlineStr">
        <is>
          <t>ÖSTERGÖTLANDS LÄN</t>
        </is>
      </c>
      <c r="E243" t="inlineStr">
        <is>
          <t>MOTALA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23896-2020</t>
        </is>
      </c>
      <c r="B244" s="1" t="n">
        <v>43971</v>
      </c>
      <c r="C244" s="1" t="n">
        <v>45850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24773-2020</t>
        </is>
      </c>
      <c r="B245" s="1" t="n">
        <v>43978</v>
      </c>
      <c r="C245" s="1" t="n">
        <v>45850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25056-2020</t>
        </is>
      </c>
      <c r="B246" s="1" t="n">
        <v>43979</v>
      </c>
      <c r="C246" s="1" t="n">
        <v>45850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25724-2020</t>
        </is>
      </c>
      <c r="B247" s="1" t="n">
        <v>43984</v>
      </c>
      <c r="C247" s="1" t="n">
        <v>45850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Kyrkan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27533-2020</t>
        </is>
      </c>
      <c r="B248" s="1" t="n">
        <v>43993</v>
      </c>
      <c r="C248" s="1" t="n">
        <v>45850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27425-2020</t>
        </is>
      </c>
      <c r="B249" s="1" t="n">
        <v>43993</v>
      </c>
      <c r="C249" s="1" t="n">
        <v>45850</v>
      </c>
      <c r="D249" t="inlineStr">
        <is>
          <t>ÖSTERGÖTLANDS LÄN</t>
        </is>
      </c>
      <c r="E249" t="inlineStr">
        <is>
          <t>MOTALA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28027-2020</t>
        </is>
      </c>
      <c r="B250" s="1" t="n">
        <v>43993</v>
      </c>
      <c r="C250" s="1" t="n">
        <v>45850</v>
      </c>
      <c r="D250" t="inlineStr">
        <is>
          <t>ÖSTERGÖTLANDS LÄN</t>
        </is>
      </c>
      <c r="E250" t="inlineStr">
        <is>
          <t>MOTALA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29931-2020</t>
        </is>
      </c>
      <c r="B251" s="1" t="n">
        <v>44006</v>
      </c>
      <c r="C251" s="1" t="n">
        <v>45850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30322-2020</t>
        </is>
      </c>
      <c r="B252" s="1" t="n">
        <v>44007</v>
      </c>
      <c r="C252" s="1" t="n">
        <v>45850</v>
      </c>
      <c r="D252" t="inlineStr">
        <is>
          <t>ÖSTERGÖTLANDS LÄN</t>
        </is>
      </c>
      <c r="E252" t="inlineStr">
        <is>
          <t>MOTALA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31479-2020</t>
        </is>
      </c>
      <c r="B253" s="1" t="n">
        <v>44013</v>
      </c>
      <c r="C253" s="1" t="n">
        <v>45850</v>
      </c>
      <c r="D253" t="inlineStr">
        <is>
          <t>ÖSTERGÖTLANDS LÄN</t>
        </is>
      </c>
      <c r="E253" t="inlineStr">
        <is>
          <t>MOTALA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31565-2020</t>
        </is>
      </c>
      <c r="B254" s="1" t="n">
        <v>44013</v>
      </c>
      <c r="C254" s="1" t="n">
        <v>45850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31910-2020</t>
        </is>
      </c>
      <c r="B255" s="1" t="n">
        <v>44014</v>
      </c>
      <c r="C255" s="1" t="n">
        <v>45850</v>
      </c>
      <c r="D255" t="inlineStr">
        <is>
          <t>ÖSTERGÖTLANDS LÄN</t>
        </is>
      </c>
      <c r="E255" t="inlineStr">
        <is>
          <t>MOTALA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HYPERLINK("https://klasma.github.io/Logging_0583/knärot/A 31910-2020 karta knärot.png", "A 31910-2020")</f>
        <v/>
      </c>
      <c r="V255">
        <f>HYPERLINK("https://klasma.github.io/Logging_0583/klagomål/A 31910-2020 FSC-klagomål.docx", "A 31910-2020")</f>
        <v/>
      </c>
      <c r="W255">
        <f>HYPERLINK("https://klasma.github.io/Logging_0583/klagomålsmail/A 31910-2020 FSC-klagomål mail.docx", "A 31910-2020")</f>
        <v/>
      </c>
      <c r="X255">
        <f>HYPERLINK("https://klasma.github.io/Logging_0583/tillsyn/A 31910-2020 tillsynsbegäran.docx", "A 31910-2020")</f>
        <v/>
      </c>
      <c r="Y255">
        <f>HYPERLINK("https://klasma.github.io/Logging_0583/tillsynsmail/A 31910-2020 tillsynsbegäran mail.docx", "A 31910-2020")</f>
        <v/>
      </c>
    </row>
    <row r="256" ht="15" customHeight="1">
      <c r="A256" t="inlineStr">
        <is>
          <t>A 32537-2020</t>
        </is>
      </c>
      <c r="B256" s="1" t="n">
        <v>44018</v>
      </c>
      <c r="C256" s="1" t="n">
        <v>45850</v>
      </c>
      <c r="D256" t="inlineStr">
        <is>
          <t>ÖSTERGÖTLANDS LÄN</t>
        </is>
      </c>
      <c r="E256" t="inlineStr">
        <is>
          <t>MOTALA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33240-2020</t>
        </is>
      </c>
      <c r="B257" s="1" t="n">
        <v>44021</v>
      </c>
      <c r="C257" s="1" t="n">
        <v>45850</v>
      </c>
      <c r="D257" t="inlineStr">
        <is>
          <t>ÖSTERGÖTLANDS LÄN</t>
        </is>
      </c>
      <c r="E257" t="inlineStr">
        <is>
          <t>MOTALA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33225-2020</t>
        </is>
      </c>
      <c r="B258" s="1" t="n">
        <v>44022</v>
      </c>
      <c r="C258" s="1" t="n">
        <v>45850</v>
      </c>
      <c r="D258" t="inlineStr">
        <is>
          <t>ÖSTERGÖTLANDS LÄN</t>
        </is>
      </c>
      <c r="E258" t="inlineStr">
        <is>
          <t>MOTALA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33920-2020</t>
        </is>
      </c>
      <c r="B259" s="1" t="n">
        <v>44027</v>
      </c>
      <c r="C259" s="1" t="n">
        <v>45850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35027-2020</t>
        </is>
      </c>
      <c r="B260" s="1" t="n">
        <v>44039</v>
      </c>
      <c r="C260" s="1" t="n">
        <v>45850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35820-2020</t>
        </is>
      </c>
      <c r="B261" s="1" t="n">
        <v>44047</v>
      </c>
      <c r="C261" s="1" t="n">
        <v>45850</v>
      </c>
      <c r="D261" t="inlineStr">
        <is>
          <t>ÖSTERGÖTLANDS LÄN</t>
        </is>
      </c>
      <c r="E261" t="inlineStr">
        <is>
          <t>MOTALA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36915-2020</t>
        </is>
      </c>
      <c r="B262" s="1" t="n">
        <v>44053</v>
      </c>
      <c r="C262" s="1" t="n">
        <v>45850</v>
      </c>
      <c r="D262" t="inlineStr">
        <is>
          <t>ÖSTERGÖTLANDS LÄN</t>
        </is>
      </c>
      <c r="E262" t="inlineStr">
        <is>
          <t>MOTALA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36943-2020</t>
        </is>
      </c>
      <c r="B263" s="1" t="n">
        <v>44053</v>
      </c>
      <c r="C263" s="1" t="n">
        <v>45850</v>
      </c>
      <c r="D263" t="inlineStr">
        <is>
          <t>ÖSTERGÖTLANDS LÄN</t>
        </is>
      </c>
      <c r="E263" t="inlineStr">
        <is>
          <t>MOTALA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37896-2020</t>
        </is>
      </c>
      <c r="B264" s="1" t="n">
        <v>44057</v>
      </c>
      <c r="C264" s="1" t="n">
        <v>45850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37906-2020</t>
        </is>
      </c>
      <c r="B265" s="1" t="n">
        <v>44057</v>
      </c>
      <c r="C265" s="1" t="n">
        <v>45850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37892-2020</t>
        </is>
      </c>
      <c r="B266" s="1" t="n">
        <v>44057</v>
      </c>
      <c r="C266" s="1" t="n">
        <v>45850</v>
      </c>
      <c r="D266" t="inlineStr">
        <is>
          <t>ÖSTERGÖTLANDS LÄN</t>
        </is>
      </c>
      <c r="E266" t="inlineStr">
        <is>
          <t>MOTALA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37898-2020</t>
        </is>
      </c>
      <c r="B267" s="1" t="n">
        <v>44057</v>
      </c>
      <c r="C267" s="1" t="n">
        <v>45850</v>
      </c>
      <c r="D267" t="inlineStr">
        <is>
          <t>ÖSTERGÖTLANDS LÄN</t>
        </is>
      </c>
      <c r="E267" t="inlineStr">
        <is>
          <t>MOTALA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38294-2020</t>
        </is>
      </c>
      <c r="B268" s="1" t="n">
        <v>44060</v>
      </c>
      <c r="C268" s="1" t="n">
        <v>45850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38308-2020</t>
        </is>
      </c>
      <c r="B269" s="1" t="n">
        <v>44060</v>
      </c>
      <c r="C269" s="1" t="n">
        <v>45850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38287-2020</t>
        </is>
      </c>
      <c r="B270" s="1" t="n">
        <v>44060</v>
      </c>
      <c r="C270" s="1" t="n">
        <v>45850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38286-2020</t>
        </is>
      </c>
      <c r="B271" s="1" t="n">
        <v>44060</v>
      </c>
      <c r="C271" s="1" t="n">
        <v>45850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38289-2020</t>
        </is>
      </c>
      <c r="B272" s="1" t="n">
        <v>44060</v>
      </c>
      <c r="C272" s="1" t="n">
        <v>45850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38572-2020</t>
        </is>
      </c>
      <c r="B273" s="1" t="n">
        <v>44061</v>
      </c>
      <c r="C273" s="1" t="n">
        <v>45850</v>
      </c>
      <c r="D273" t="inlineStr">
        <is>
          <t>ÖSTERGÖTLANDS LÄN</t>
        </is>
      </c>
      <c r="E273" t="inlineStr">
        <is>
          <t>MOTALA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38503-2020</t>
        </is>
      </c>
      <c r="B274" s="1" t="n">
        <v>44061</v>
      </c>
      <c r="C274" s="1" t="n">
        <v>45850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39310-2020</t>
        </is>
      </c>
      <c r="B275" s="1" t="n">
        <v>44063</v>
      </c>
      <c r="C275" s="1" t="n">
        <v>45850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39401-2020</t>
        </is>
      </c>
      <c r="B276" s="1" t="n">
        <v>44063</v>
      </c>
      <c r="C276" s="1" t="n">
        <v>45850</v>
      </c>
      <c r="D276" t="inlineStr">
        <is>
          <t>ÖSTERGÖTLANDS LÄN</t>
        </is>
      </c>
      <c r="E276" t="inlineStr">
        <is>
          <t>MOTALA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39386-2020</t>
        </is>
      </c>
      <c r="B277" s="1" t="n">
        <v>44063</v>
      </c>
      <c r="C277" s="1" t="n">
        <v>45850</v>
      </c>
      <c r="D277" t="inlineStr">
        <is>
          <t>ÖSTERGÖTLANDS LÄN</t>
        </is>
      </c>
      <c r="E277" t="inlineStr">
        <is>
          <t>MOTALA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39600-2020</t>
        </is>
      </c>
      <c r="B278" s="1" t="n">
        <v>44064</v>
      </c>
      <c r="C278" s="1" t="n">
        <v>45850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39606-2020</t>
        </is>
      </c>
      <c r="B279" s="1" t="n">
        <v>44064</v>
      </c>
      <c r="C279" s="1" t="n">
        <v>45850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39927-2020</t>
        </is>
      </c>
      <c r="B280" s="1" t="n">
        <v>44067</v>
      </c>
      <c r="C280" s="1" t="n">
        <v>45850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40281-2020</t>
        </is>
      </c>
      <c r="B281" s="1" t="n">
        <v>44068</v>
      </c>
      <c r="C281" s="1" t="n">
        <v>45850</v>
      </c>
      <c r="D281" t="inlineStr">
        <is>
          <t>ÖSTERGÖTLANDS LÄN</t>
        </is>
      </c>
      <c r="E281" t="inlineStr">
        <is>
          <t>MOTALA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40665-2020</t>
        </is>
      </c>
      <c r="B282" s="1" t="n">
        <v>44069</v>
      </c>
      <c r="C282" s="1" t="n">
        <v>45850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41806-2020</t>
        </is>
      </c>
      <c r="B283" s="1" t="n">
        <v>44074</v>
      </c>
      <c r="C283" s="1" t="n">
        <v>45850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43956-2020</t>
        </is>
      </c>
      <c r="B284" s="1" t="n">
        <v>44083</v>
      </c>
      <c r="C284" s="1" t="n">
        <v>45850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44069-2020</t>
        </is>
      </c>
      <c r="B285" s="1" t="n">
        <v>44083</v>
      </c>
      <c r="C285" s="1" t="n">
        <v>45850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44147-2020</t>
        </is>
      </c>
      <c r="B286" s="1" t="n">
        <v>44083</v>
      </c>
      <c r="C286" s="1" t="n">
        <v>45850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44776-2020</t>
        </is>
      </c>
      <c r="B287" s="1" t="n">
        <v>44085</v>
      </c>
      <c r="C287" s="1" t="n">
        <v>45850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44772-2020</t>
        </is>
      </c>
      <c r="B288" s="1" t="n">
        <v>44085</v>
      </c>
      <c r="C288" s="1" t="n">
        <v>45850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46588-2020</t>
        </is>
      </c>
      <c r="B289" s="1" t="n">
        <v>44095</v>
      </c>
      <c r="C289" s="1" t="n">
        <v>45850</v>
      </c>
      <c r="D289" t="inlineStr">
        <is>
          <t>ÖSTERGÖTLANDS LÄN</t>
        </is>
      </c>
      <c r="E289" t="inlineStr">
        <is>
          <t>MOTALA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46590-2020</t>
        </is>
      </c>
      <c r="B290" s="1" t="n">
        <v>44095</v>
      </c>
      <c r="C290" s="1" t="n">
        <v>45850</v>
      </c>
      <c r="D290" t="inlineStr">
        <is>
          <t>ÖSTERGÖTLANDS LÄN</t>
        </is>
      </c>
      <c r="E290" t="inlineStr">
        <is>
          <t>MOTALA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46724-2020</t>
        </is>
      </c>
      <c r="B291" s="1" t="n">
        <v>44095</v>
      </c>
      <c r="C291" s="1" t="n">
        <v>45850</v>
      </c>
      <c r="D291" t="inlineStr">
        <is>
          <t>ÖSTERGÖTLANDS LÄN</t>
        </is>
      </c>
      <c r="E291" t="inlineStr">
        <is>
          <t>MOTALA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47262-2020</t>
        </is>
      </c>
      <c r="B292" s="1" t="n">
        <v>44097</v>
      </c>
      <c r="C292" s="1" t="n">
        <v>45850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48621-2020</t>
        </is>
      </c>
      <c r="B293" s="1" t="n">
        <v>44103</v>
      </c>
      <c r="C293" s="1" t="n">
        <v>45850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49820-2020</t>
        </is>
      </c>
      <c r="B294" s="1" t="n">
        <v>44106</v>
      </c>
      <c r="C294" s="1" t="n">
        <v>45850</v>
      </c>
      <c r="D294" t="inlineStr">
        <is>
          <t>ÖSTERGÖTLANDS LÄN</t>
        </is>
      </c>
      <c r="E294" t="inlineStr">
        <is>
          <t>MOTALA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49961-2020</t>
        </is>
      </c>
      <c r="B295" s="1" t="n">
        <v>44109</v>
      </c>
      <c r="C295" s="1" t="n">
        <v>45850</v>
      </c>
      <c r="D295" t="inlineStr">
        <is>
          <t>ÖSTERGÖTLANDS LÄN</t>
        </is>
      </c>
      <c r="E295" t="inlineStr">
        <is>
          <t>MOTALA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51055-2020</t>
        </is>
      </c>
      <c r="B296" s="1" t="n">
        <v>44112</v>
      </c>
      <c r="C296" s="1" t="n">
        <v>45850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51202-2020</t>
        </is>
      </c>
      <c r="B297" s="1" t="n">
        <v>44112</v>
      </c>
      <c r="C297" s="1" t="n">
        <v>45850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53761-2020</t>
        </is>
      </c>
      <c r="B298" s="1" t="n">
        <v>44124</v>
      </c>
      <c r="C298" s="1" t="n">
        <v>45850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54553-2020</t>
        </is>
      </c>
      <c r="B299" s="1" t="n">
        <v>44126</v>
      </c>
      <c r="C299" s="1" t="n">
        <v>45850</v>
      </c>
      <c r="D299" t="inlineStr">
        <is>
          <t>ÖSTERGÖTLANDS LÄN</t>
        </is>
      </c>
      <c r="E299" t="inlineStr">
        <is>
          <t>MOTALA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55115-2020</t>
        </is>
      </c>
      <c r="B300" s="1" t="n">
        <v>44130</v>
      </c>
      <c r="C300" s="1" t="n">
        <v>45850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55382-2020</t>
        </is>
      </c>
      <c r="B301" s="1" t="n">
        <v>44131</v>
      </c>
      <c r="C301" s="1" t="n">
        <v>45850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56544-2020</t>
        </is>
      </c>
      <c r="B302" s="1" t="n">
        <v>44137</v>
      </c>
      <c r="C302" s="1" t="n">
        <v>45850</v>
      </c>
      <c r="D302" t="inlineStr">
        <is>
          <t>ÖSTERGÖTLANDS LÄN</t>
        </is>
      </c>
      <c r="E302" t="inlineStr">
        <is>
          <t>MOTALA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57395-2020</t>
        </is>
      </c>
      <c r="B303" s="1" t="n">
        <v>44140</v>
      </c>
      <c r="C303" s="1" t="n">
        <v>45850</v>
      </c>
      <c r="D303" t="inlineStr">
        <is>
          <t>ÖSTERGÖTLANDS LÄN</t>
        </is>
      </c>
      <c r="E303" t="inlineStr">
        <is>
          <t>MOTALA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57666-2020</t>
        </is>
      </c>
      <c r="B304" s="1" t="n">
        <v>44140</v>
      </c>
      <c r="C304" s="1" t="n">
        <v>45850</v>
      </c>
      <c r="D304" t="inlineStr">
        <is>
          <t>ÖSTERGÖTLANDS LÄN</t>
        </is>
      </c>
      <c r="E304" t="inlineStr">
        <is>
          <t>MOTALA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60325-2020</t>
        </is>
      </c>
      <c r="B305" s="1" t="n">
        <v>44152</v>
      </c>
      <c r="C305" s="1" t="n">
        <v>45850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62135-2020</t>
        </is>
      </c>
      <c r="B306" s="1" t="n">
        <v>44158</v>
      </c>
      <c r="C306" s="1" t="n">
        <v>45850</v>
      </c>
      <c r="D306" t="inlineStr">
        <is>
          <t>ÖSTERGÖTLANDS LÄN</t>
        </is>
      </c>
      <c r="E306" t="inlineStr">
        <is>
          <t>MOTALA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62598-2020</t>
        </is>
      </c>
      <c r="B307" s="1" t="n">
        <v>44161</v>
      </c>
      <c r="C307" s="1" t="n">
        <v>45850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64001-2020</t>
        </is>
      </c>
      <c r="B308" s="1" t="n">
        <v>44167</v>
      </c>
      <c r="C308" s="1" t="n">
        <v>45850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64121-2020</t>
        </is>
      </c>
      <c r="B309" s="1" t="n">
        <v>44167</v>
      </c>
      <c r="C309" s="1" t="n">
        <v>45850</v>
      </c>
      <c r="D309" t="inlineStr">
        <is>
          <t>ÖSTERGÖTLANDS LÄN</t>
        </is>
      </c>
      <c r="E309" t="inlineStr">
        <is>
          <t>MOTALA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65584-2020</t>
        </is>
      </c>
      <c r="B310" s="1" t="n">
        <v>44173</v>
      </c>
      <c r="C310" s="1" t="n">
        <v>45850</v>
      </c>
      <c r="D310" t="inlineStr">
        <is>
          <t>ÖSTERGÖTLANDS LÄN</t>
        </is>
      </c>
      <c r="E310" t="inlineStr">
        <is>
          <t>MOTALA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67023-2020</t>
        </is>
      </c>
      <c r="B311" s="1" t="n">
        <v>44176</v>
      </c>
      <c r="C311" s="1" t="n">
        <v>45850</v>
      </c>
      <c r="D311" t="inlineStr">
        <is>
          <t>ÖSTERGÖTLANDS LÄN</t>
        </is>
      </c>
      <c r="E311" t="inlineStr">
        <is>
          <t>MOTALA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68560-2020</t>
        </is>
      </c>
      <c r="B312" s="1" t="n">
        <v>44186</v>
      </c>
      <c r="C312" s="1" t="n">
        <v>45850</v>
      </c>
      <c r="D312" t="inlineStr">
        <is>
          <t>ÖSTERGÖTLANDS LÄN</t>
        </is>
      </c>
      <c r="E312" t="inlineStr">
        <is>
          <t>MOTALA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69484-2020</t>
        </is>
      </c>
      <c r="B313" s="1" t="n">
        <v>44194</v>
      </c>
      <c r="C313" s="1" t="n">
        <v>45850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268-2021</t>
        </is>
      </c>
      <c r="B314" s="1" t="n">
        <v>44200</v>
      </c>
      <c r="C314" s="1" t="n">
        <v>45850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267-2021</t>
        </is>
      </c>
      <c r="B315" s="1" t="n">
        <v>44200</v>
      </c>
      <c r="C315" s="1" t="n">
        <v>45850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4207-2021</t>
        </is>
      </c>
      <c r="B316" s="1" t="n">
        <v>44218</v>
      </c>
      <c r="C316" s="1" t="n">
        <v>45850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7608-2021</t>
        </is>
      </c>
      <c r="B317" s="1" t="n">
        <v>44242</v>
      </c>
      <c r="C317" s="1" t="n">
        <v>45850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8373-2021</t>
        </is>
      </c>
      <c r="B318" s="1" t="n">
        <v>44245</v>
      </c>
      <c r="C318" s="1" t="n">
        <v>45850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9783-2021</t>
        </is>
      </c>
      <c r="B319" s="1" t="n">
        <v>44252</v>
      </c>
      <c r="C319" s="1" t="n">
        <v>45850</v>
      </c>
      <c r="D319" t="inlineStr">
        <is>
          <t>ÖSTERGÖTLANDS LÄN</t>
        </is>
      </c>
      <c r="E319" t="inlineStr">
        <is>
          <t>MOTALA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10001-2021</t>
        </is>
      </c>
      <c r="B320" s="1" t="n">
        <v>44255</v>
      </c>
      <c r="C320" s="1" t="n">
        <v>45850</v>
      </c>
      <c r="D320" t="inlineStr">
        <is>
          <t>ÖSTERGÖTLANDS LÄN</t>
        </is>
      </c>
      <c r="E320" t="inlineStr">
        <is>
          <t>MOTALA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9998-2021</t>
        </is>
      </c>
      <c r="B321" s="1" t="n">
        <v>44255</v>
      </c>
      <c r="C321" s="1" t="n">
        <v>45850</v>
      </c>
      <c r="D321" t="inlineStr">
        <is>
          <t>ÖSTERGÖTLANDS LÄN</t>
        </is>
      </c>
      <c r="E321" t="inlineStr">
        <is>
          <t>MOTALA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10312-2021</t>
        </is>
      </c>
      <c r="B322" s="1" t="n">
        <v>44257</v>
      </c>
      <c r="C322" s="1" t="n">
        <v>45850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10796-2021</t>
        </is>
      </c>
      <c r="B323" s="1" t="n">
        <v>44259</v>
      </c>
      <c r="C323" s="1" t="n">
        <v>45850</v>
      </c>
      <c r="D323" t="inlineStr">
        <is>
          <t>ÖSTERGÖTLANDS LÄN</t>
        </is>
      </c>
      <c r="E323" t="inlineStr">
        <is>
          <t>MOTALA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11858-2021</t>
        </is>
      </c>
      <c r="B324" s="1" t="n">
        <v>44265</v>
      </c>
      <c r="C324" s="1" t="n">
        <v>45850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12235-2021</t>
        </is>
      </c>
      <c r="B325" s="1" t="n">
        <v>44266</v>
      </c>
      <c r="C325" s="1" t="n">
        <v>45850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13092-2021</t>
        </is>
      </c>
      <c r="B326" s="1" t="n">
        <v>44271</v>
      </c>
      <c r="C326" s="1" t="n">
        <v>45850</v>
      </c>
      <c r="D326" t="inlineStr">
        <is>
          <t>ÖSTERGÖTLANDS LÄN</t>
        </is>
      </c>
      <c r="E326" t="inlineStr">
        <is>
          <t>MOTALA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13093-2021</t>
        </is>
      </c>
      <c r="B327" s="1" t="n">
        <v>44271</v>
      </c>
      <c r="C327" s="1" t="n">
        <v>45850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13094-2021</t>
        </is>
      </c>
      <c r="B328" s="1" t="n">
        <v>44271</v>
      </c>
      <c r="C328" s="1" t="n">
        <v>45850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13096-2021</t>
        </is>
      </c>
      <c r="B329" s="1" t="n">
        <v>44271</v>
      </c>
      <c r="C329" s="1" t="n">
        <v>45850</v>
      </c>
      <c r="D329" t="inlineStr">
        <is>
          <t>ÖSTERGÖTLANDS LÄN</t>
        </is>
      </c>
      <c r="E329" t="inlineStr">
        <is>
          <t>MOTALA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13772-2021</t>
        </is>
      </c>
      <c r="B330" s="1" t="n">
        <v>44274</v>
      </c>
      <c r="C330" s="1" t="n">
        <v>45850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13767-2021</t>
        </is>
      </c>
      <c r="B331" s="1" t="n">
        <v>44274</v>
      </c>
      <c r="C331" s="1" t="n">
        <v>45850</v>
      </c>
      <c r="D331" t="inlineStr">
        <is>
          <t>ÖSTERGÖTLANDS LÄN</t>
        </is>
      </c>
      <c r="E331" t="inlineStr">
        <is>
          <t>MOTALA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13773-2021</t>
        </is>
      </c>
      <c r="B332" s="1" t="n">
        <v>44274</v>
      </c>
      <c r="C332" s="1" t="n">
        <v>45850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13763-2021</t>
        </is>
      </c>
      <c r="B333" s="1" t="n">
        <v>44274</v>
      </c>
      <c r="C333" s="1" t="n">
        <v>45850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13769-2021</t>
        </is>
      </c>
      <c r="B334" s="1" t="n">
        <v>44274</v>
      </c>
      <c r="C334" s="1" t="n">
        <v>45850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13764-2021</t>
        </is>
      </c>
      <c r="B335" s="1" t="n">
        <v>44274</v>
      </c>
      <c r="C335" s="1" t="n">
        <v>45850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13770-2021</t>
        </is>
      </c>
      <c r="B336" s="1" t="n">
        <v>44274</v>
      </c>
      <c r="C336" s="1" t="n">
        <v>45850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13776-2021</t>
        </is>
      </c>
      <c r="B337" s="1" t="n">
        <v>44274</v>
      </c>
      <c r="C337" s="1" t="n">
        <v>45850</v>
      </c>
      <c r="D337" t="inlineStr">
        <is>
          <t>ÖSTERGÖTLANDS LÄN</t>
        </is>
      </c>
      <c r="E337" t="inlineStr">
        <is>
          <t>MOTALA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14173-2021</t>
        </is>
      </c>
      <c r="B338" s="1" t="n">
        <v>44278</v>
      </c>
      <c r="C338" s="1" t="n">
        <v>45850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14796-2021</t>
        </is>
      </c>
      <c r="B339" s="1" t="n">
        <v>44280</v>
      </c>
      <c r="C339" s="1" t="n">
        <v>45850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14794-2021</t>
        </is>
      </c>
      <c r="B340" s="1" t="n">
        <v>44280</v>
      </c>
      <c r="C340" s="1" t="n">
        <v>45850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14801-2021</t>
        </is>
      </c>
      <c r="B341" s="1" t="n">
        <v>44280</v>
      </c>
      <c r="C341" s="1" t="n">
        <v>45850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18785-2021</t>
        </is>
      </c>
      <c r="B342" s="1" t="n">
        <v>44307</v>
      </c>
      <c r="C342" s="1" t="n">
        <v>45850</v>
      </c>
      <c r="D342" t="inlineStr">
        <is>
          <t>ÖSTERGÖTLANDS LÄN</t>
        </is>
      </c>
      <c r="E342" t="inlineStr">
        <is>
          <t>MOTALA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19104-2021</t>
        </is>
      </c>
      <c r="B343" s="1" t="n">
        <v>44308</v>
      </c>
      <c r="C343" s="1" t="n">
        <v>45850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19634-2021</t>
        </is>
      </c>
      <c r="B344" s="1" t="n">
        <v>44309</v>
      </c>
      <c r="C344" s="1" t="n">
        <v>45850</v>
      </c>
      <c r="D344" t="inlineStr">
        <is>
          <t>ÖSTERGÖTLANDS LÄN</t>
        </is>
      </c>
      <c r="E344" t="inlineStr">
        <is>
          <t>MOTALA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19799-2021</t>
        </is>
      </c>
      <c r="B345" s="1" t="n">
        <v>44313</v>
      </c>
      <c r="C345" s="1" t="n">
        <v>45850</v>
      </c>
      <c r="D345" t="inlineStr">
        <is>
          <t>ÖSTERGÖTLANDS LÄN</t>
        </is>
      </c>
      <c r="E345" t="inlineStr">
        <is>
          <t>MOTALA</t>
        </is>
      </c>
      <c r="F345" t="inlineStr">
        <is>
          <t>Kyrkan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19891-2021</t>
        </is>
      </c>
      <c r="B346" s="1" t="n">
        <v>44313</v>
      </c>
      <c r="C346" s="1" t="n">
        <v>45850</v>
      </c>
      <c r="D346" t="inlineStr">
        <is>
          <t>ÖSTERGÖTLANDS LÄN</t>
        </is>
      </c>
      <c r="E346" t="inlineStr">
        <is>
          <t>MOTALA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20587-2021</t>
        </is>
      </c>
      <c r="B347" s="1" t="n">
        <v>44316</v>
      </c>
      <c r="C347" s="1" t="n">
        <v>45850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21286-2021</t>
        </is>
      </c>
      <c r="B348" s="1" t="n">
        <v>44320</v>
      </c>
      <c r="C348" s="1" t="n">
        <v>45850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22471-2021</t>
        </is>
      </c>
      <c r="B349" s="1" t="n">
        <v>44326</v>
      </c>
      <c r="C349" s="1" t="n">
        <v>45850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22470-2021</t>
        </is>
      </c>
      <c r="B350" s="1" t="n">
        <v>44326</v>
      </c>
      <c r="C350" s="1" t="n">
        <v>45850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22767-2021</t>
        </is>
      </c>
      <c r="B351" s="1" t="n">
        <v>44327</v>
      </c>
      <c r="C351" s="1" t="n">
        <v>45850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22879-2021</t>
        </is>
      </c>
      <c r="B352" s="1" t="n">
        <v>44328</v>
      </c>
      <c r="C352" s="1" t="n">
        <v>45850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22882-2021</t>
        </is>
      </c>
      <c r="B353" s="1" t="n">
        <v>44328</v>
      </c>
      <c r="C353" s="1" t="n">
        <v>45850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22875-2021</t>
        </is>
      </c>
      <c r="B354" s="1" t="n">
        <v>44328</v>
      </c>
      <c r="C354" s="1" t="n">
        <v>45850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22884-2021</t>
        </is>
      </c>
      <c r="B355" s="1" t="n">
        <v>44328</v>
      </c>
      <c r="C355" s="1" t="n">
        <v>45850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22878-2021</t>
        </is>
      </c>
      <c r="B356" s="1" t="n">
        <v>44328</v>
      </c>
      <c r="C356" s="1" t="n">
        <v>45850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23603-2021</t>
        </is>
      </c>
      <c r="B357" s="1" t="n">
        <v>44334</v>
      </c>
      <c r="C357" s="1" t="n">
        <v>45850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24565-2021</t>
        </is>
      </c>
      <c r="B358" s="1" t="n">
        <v>44339</v>
      </c>
      <c r="C358" s="1" t="n">
        <v>45850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25737-2021</t>
        </is>
      </c>
      <c r="B359" s="1" t="n">
        <v>44343</v>
      </c>
      <c r="C359" s="1" t="n">
        <v>45850</v>
      </c>
      <c r="D359" t="inlineStr">
        <is>
          <t>ÖSTERGÖTLANDS LÄN</t>
        </is>
      </c>
      <c r="E359" t="inlineStr">
        <is>
          <t>MOTALA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26546-2021</t>
        </is>
      </c>
      <c r="B360" s="1" t="n">
        <v>44348</v>
      </c>
      <c r="C360" s="1" t="n">
        <v>45850</v>
      </c>
      <c r="D360" t="inlineStr">
        <is>
          <t>ÖSTERGÖTLANDS LÄN</t>
        </is>
      </c>
      <c r="E360" t="inlineStr">
        <is>
          <t>MOTALA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28152-2021</t>
        </is>
      </c>
      <c r="B361" s="1" t="n">
        <v>44355</v>
      </c>
      <c r="C361" s="1" t="n">
        <v>45850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28504-2021</t>
        </is>
      </c>
      <c r="B362" s="1" t="n">
        <v>44356</v>
      </c>
      <c r="C362" s="1" t="n">
        <v>45850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28466-2021</t>
        </is>
      </c>
      <c r="B363" s="1" t="n">
        <v>44356</v>
      </c>
      <c r="C363" s="1" t="n">
        <v>45850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28813-2021</t>
        </is>
      </c>
      <c r="B364" s="1" t="n">
        <v>44357</v>
      </c>
      <c r="C364" s="1" t="n">
        <v>45850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28805-2021</t>
        </is>
      </c>
      <c r="B365" s="1" t="n">
        <v>44357</v>
      </c>
      <c r="C365" s="1" t="n">
        <v>45850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28809-2021</t>
        </is>
      </c>
      <c r="B366" s="1" t="n">
        <v>44357</v>
      </c>
      <c r="C366" s="1" t="n">
        <v>45850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29081-2021</t>
        </is>
      </c>
      <c r="B367" s="1" t="n">
        <v>44358</v>
      </c>
      <c r="C367" s="1" t="n">
        <v>45850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29043-2021</t>
        </is>
      </c>
      <c r="B368" s="1" t="n">
        <v>44358</v>
      </c>
      <c r="C368" s="1" t="n">
        <v>45850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29065-2021</t>
        </is>
      </c>
      <c r="B369" s="1" t="n">
        <v>44358</v>
      </c>
      <c r="C369" s="1" t="n">
        <v>45850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29189-2021</t>
        </is>
      </c>
      <c r="B370" s="1" t="n">
        <v>44358</v>
      </c>
      <c r="C370" s="1" t="n">
        <v>45850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32341-2021</t>
        </is>
      </c>
      <c r="B371" s="1" t="n">
        <v>44371</v>
      </c>
      <c r="C371" s="1" t="n">
        <v>45850</v>
      </c>
      <c r="D371" t="inlineStr">
        <is>
          <t>ÖSTERGÖTLANDS LÄN</t>
        </is>
      </c>
      <c r="E371" t="inlineStr">
        <is>
          <t>MOTALA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HYPERLINK("https://klasma.github.io/Logging_0583/knärot/A 32341-2021 karta knärot.png", "A 32341-2021")</f>
        <v/>
      </c>
      <c r="V371">
        <f>HYPERLINK("https://klasma.github.io/Logging_0583/klagomål/A 32341-2021 FSC-klagomål.docx", "A 32341-2021")</f>
        <v/>
      </c>
      <c r="W371">
        <f>HYPERLINK("https://klasma.github.io/Logging_0583/klagomålsmail/A 32341-2021 FSC-klagomål mail.docx", "A 32341-2021")</f>
        <v/>
      </c>
      <c r="X371">
        <f>HYPERLINK("https://klasma.github.io/Logging_0583/tillsyn/A 32341-2021 tillsynsbegäran.docx", "A 32341-2021")</f>
        <v/>
      </c>
      <c r="Y371">
        <f>HYPERLINK("https://klasma.github.io/Logging_0583/tillsynsmail/A 32341-2021 tillsynsbegäran mail.docx", "A 32341-2021")</f>
        <v/>
      </c>
    </row>
    <row r="372" ht="15" customHeight="1">
      <c r="A372" t="inlineStr">
        <is>
          <t>A 35314-2021</t>
        </is>
      </c>
      <c r="B372" s="1" t="n">
        <v>44384</v>
      </c>
      <c r="C372" s="1" t="n">
        <v>45850</v>
      </c>
      <c r="D372" t="inlineStr">
        <is>
          <t>ÖSTERGÖTLANDS LÄN</t>
        </is>
      </c>
      <c r="E372" t="inlineStr">
        <is>
          <t>MOTALA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35459-2021</t>
        </is>
      </c>
      <c r="B373" s="1" t="n">
        <v>44385</v>
      </c>
      <c r="C373" s="1" t="n">
        <v>45850</v>
      </c>
      <c r="D373" t="inlineStr">
        <is>
          <t>ÖSTERGÖTLANDS LÄN</t>
        </is>
      </c>
      <c r="E373" t="inlineStr">
        <is>
          <t>MOTALA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35477-2021</t>
        </is>
      </c>
      <c r="B374" s="1" t="n">
        <v>44385</v>
      </c>
      <c r="C374" s="1" t="n">
        <v>45850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36657-2021</t>
        </is>
      </c>
      <c r="B375" s="1" t="n">
        <v>44392</v>
      </c>
      <c r="C375" s="1" t="n">
        <v>45850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36652-2021</t>
        </is>
      </c>
      <c r="B376" s="1" t="n">
        <v>44392</v>
      </c>
      <c r="C376" s="1" t="n">
        <v>45850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36658-2021</t>
        </is>
      </c>
      <c r="B377" s="1" t="n">
        <v>44392</v>
      </c>
      <c r="C377" s="1" t="n">
        <v>45850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37428-2021</t>
        </is>
      </c>
      <c r="B378" s="1" t="n">
        <v>44398</v>
      </c>
      <c r="C378" s="1" t="n">
        <v>45850</v>
      </c>
      <c r="D378" t="inlineStr">
        <is>
          <t>ÖSTERGÖTLANDS LÄN</t>
        </is>
      </c>
      <c r="E378" t="inlineStr">
        <is>
          <t>MOTALA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39620-2021</t>
        </is>
      </c>
      <c r="B379" s="1" t="n">
        <v>44413</v>
      </c>
      <c r="C379" s="1" t="n">
        <v>45850</v>
      </c>
      <c r="D379" t="inlineStr">
        <is>
          <t>ÖSTERGÖTLANDS LÄN</t>
        </is>
      </c>
      <c r="E379" t="inlineStr">
        <is>
          <t>MOTALA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39630-2021</t>
        </is>
      </c>
      <c r="B380" s="1" t="n">
        <v>44413</v>
      </c>
      <c r="C380" s="1" t="n">
        <v>45850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39494-2021</t>
        </is>
      </c>
      <c r="B381" s="1" t="n">
        <v>44414</v>
      </c>
      <c r="C381" s="1" t="n">
        <v>45850</v>
      </c>
      <c r="D381" t="inlineStr">
        <is>
          <t>ÖSTERGÖTLANDS LÄN</t>
        </is>
      </c>
      <c r="E381" t="inlineStr">
        <is>
          <t>MOTALA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40191-2021</t>
        </is>
      </c>
      <c r="B382" s="1" t="n">
        <v>44418</v>
      </c>
      <c r="C382" s="1" t="n">
        <v>45850</v>
      </c>
      <c r="D382" t="inlineStr">
        <is>
          <t>ÖSTERGÖTLANDS LÄN</t>
        </is>
      </c>
      <c r="E382" t="inlineStr">
        <is>
          <t>MOTALA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40815-2021</t>
        </is>
      </c>
      <c r="B383" s="1" t="n">
        <v>44421</v>
      </c>
      <c r="C383" s="1" t="n">
        <v>45850</v>
      </c>
      <c r="D383" t="inlineStr">
        <is>
          <t>ÖSTERGÖTLANDS LÄN</t>
        </is>
      </c>
      <c r="E383" t="inlineStr">
        <is>
          <t>MOTALA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40948-2021</t>
        </is>
      </c>
      <c r="B384" s="1" t="n">
        <v>44421</v>
      </c>
      <c r="C384" s="1" t="n">
        <v>45850</v>
      </c>
      <c r="D384" t="inlineStr">
        <is>
          <t>ÖSTERGÖTLANDS LÄN</t>
        </is>
      </c>
      <c r="E384" t="inlineStr">
        <is>
          <t>MOTALA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41432-2021</t>
        </is>
      </c>
      <c r="B385" s="1" t="n">
        <v>44424</v>
      </c>
      <c r="C385" s="1" t="n">
        <v>45850</v>
      </c>
      <c r="D385" t="inlineStr">
        <is>
          <t>ÖSTERGÖTLANDS LÄN</t>
        </is>
      </c>
      <c r="E385" t="inlineStr">
        <is>
          <t>MOTALA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41644-2021</t>
        </is>
      </c>
      <c r="B386" s="1" t="n">
        <v>44425</v>
      </c>
      <c r="C386" s="1" t="n">
        <v>45850</v>
      </c>
      <c r="D386" t="inlineStr">
        <is>
          <t>ÖSTERGÖTLANDS LÄN</t>
        </is>
      </c>
      <c r="E386" t="inlineStr">
        <is>
          <t>MOTALA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41787-2021</t>
        </is>
      </c>
      <c r="B387" s="1" t="n">
        <v>44425</v>
      </c>
      <c r="C387" s="1" t="n">
        <v>45850</v>
      </c>
      <c r="D387" t="inlineStr">
        <is>
          <t>ÖSTERGÖTLANDS LÄN</t>
        </is>
      </c>
      <c r="E387" t="inlineStr">
        <is>
          <t>MOTALA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42311-2021</t>
        </is>
      </c>
      <c r="B388" s="1" t="n">
        <v>44427</v>
      </c>
      <c r="C388" s="1" t="n">
        <v>45850</v>
      </c>
      <c r="D388" t="inlineStr">
        <is>
          <t>ÖSTERGÖTLANDS LÄN</t>
        </is>
      </c>
      <c r="E388" t="inlineStr">
        <is>
          <t>MOTALA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42974-2021</t>
        </is>
      </c>
      <c r="B389" s="1" t="n">
        <v>44431</v>
      </c>
      <c r="C389" s="1" t="n">
        <v>45850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43695-2021</t>
        </is>
      </c>
      <c r="B390" s="1" t="n">
        <v>44433</v>
      </c>
      <c r="C390" s="1" t="n">
        <v>45850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43905-2021</t>
        </is>
      </c>
      <c r="B391" s="1" t="n">
        <v>44434</v>
      </c>
      <c r="C391" s="1" t="n">
        <v>45850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46542-2021</t>
        </is>
      </c>
      <c r="B392" s="1" t="n">
        <v>44445</v>
      </c>
      <c r="C392" s="1" t="n">
        <v>45850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46675-2021</t>
        </is>
      </c>
      <c r="B393" s="1" t="n">
        <v>44445</v>
      </c>
      <c r="C393" s="1" t="n">
        <v>45850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46672-2021</t>
        </is>
      </c>
      <c r="B394" s="1" t="n">
        <v>44445</v>
      </c>
      <c r="C394" s="1" t="n">
        <v>45850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46681-2021</t>
        </is>
      </c>
      <c r="B395" s="1" t="n">
        <v>44445</v>
      </c>
      <c r="C395" s="1" t="n">
        <v>45850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46958-2021</t>
        </is>
      </c>
      <c r="B396" s="1" t="n">
        <v>44446</v>
      </c>
      <c r="C396" s="1" t="n">
        <v>45850</v>
      </c>
      <c r="D396" t="inlineStr">
        <is>
          <t>ÖSTERGÖTLANDS LÄN</t>
        </is>
      </c>
      <c r="E396" t="inlineStr">
        <is>
          <t>MOTALA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47875-2021</t>
        </is>
      </c>
      <c r="B397" s="1" t="n">
        <v>44448</v>
      </c>
      <c r="C397" s="1" t="n">
        <v>45850</v>
      </c>
      <c r="D397" t="inlineStr">
        <is>
          <t>ÖSTERGÖTLANDS LÄN</t>
        </is>
      </c>
      <c r="E397" t="inlineStr">
        <is>
          <t>MOTALA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48799-2021</t>
        </is>
      </c>
      <c r="B398" s="1" t="n">
        <v>44452</v>
      </c>
      <c r="C398" s="1" t="n">
        <v>45850</v>
      </c>
      <c r="D398" t="inlineStr">
        <is>
          <t>ÖSTERGÖTLANDS LÄN</t>
        </is>
      </c>
      <c r="E398" t="inlineStr">
        <is>
          <t>MOTALA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48931-2021</t>
        </is>
      </c>
      <c r="B399" s="1" t="n">
        <v>44452</v>
      </c>
      <c r="C399" s="1" t="n">
        <v>45850</v>
      </c>
      <c r="D399" t="inlineStr">
        <is>
          <t>ÖSTERGÖTLANDS LÄN</t>
        </is>
      </c>
      <c r="E399" t="inlineStr">
        <is>
          <t>MOTALA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49787-2021</t>
        </is>
      </c>
      <c r="B400" s="1" t="n">
        <v>44455</v>
      </c>
      <c r="C400" s="1" t="n">
        <v>45850</v>
      </c>
      <c r="D400" t="inlineStr">
        <is>
          <t>ÖSTERGÖTLANDS LÄN</t>
        </is>
      </c>
      <c r="E400" t="inlineStr">
        <is>
          <t>MOTALA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49627-2021</t>
        </is>
      </c>
      <c r="B401" s="1" t="n">
        <v>44455</v>
      </c>
      <c r="C401" s="1" t="n">
        <v>45850</v>
      </c>
      <c r="D401" t="inlineStr">
        <is>
          <t>ÖSTERGÖTLANDS LÄN</t>
        </is>
      </c>
      <c r="E401" t="inlineStr">
        <is>
          <t>MOTALA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49646-2021</t>
        </is>
      </c>
      <c r="B402" s="1" t="n">
        <v>44455</v>
      </c>
      <c r="C402" s="1" t="n">
        <v>45850</v>
      </c>
      <c r="D402" t="inlineStr">
        <is>
          <t>ÖSTERGÖTLANDS LÄN</t>
        </is>
      </c>
      <c r="E402" t="inlineStr">
        <is>
          <t>MOTALA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49658-2021</t>
        </is>
      </c>
      <c r="B403" s="1" t="n">
        <v>44455</v>
      </c>
      <c r="C403" s="1" t="n">
        <v>45850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49651-2021</t>
        </is>
      </c>
      <c r="B404" s="1" t="n">
        <v>44455</v>
      </c>
      <c r="C404" s="1" t="n">
        <v>45850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51653-2021</t>
        </is>
      </c>
      <c r="B405" s="1" t="n">
        <v>44462</v>
      </c>
      <c r="C405" s="1" t="n">
        <v>45850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51832-2021</t>
        </is>
      </c>
      <c r="B406" s="1" t="n">
        <v>44462</v>
      </c>
      <c r="C406" s="1" t="n">
        <v>45850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53574-2021</t>
        </is>
      </c>
      <c r="B407" s="1" t="n">
        <v>44468</v>
      </c>
      <c r="C407" s="1" t="n">
        <v>45850</v>
      </c>
      <c r="D407" t="inlineStr">
        <is>
          <t>ÖSTERGÖTLANDS LÄN</t>
        </is>
      </c>
      <c r="E407" t="inlineStr">
        <is>
          <t>MOTALA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53669-2021</t>
        </is>
      </c>
      <c r="B408" s="1" t="n">
        <v>44469</v>
      </c>
      <c r="C408" s="1" t="n">
        <v>45850</v>
      </c>
      <c r="D408" t="inlineStr">
        <is>
          <t>ÖSTERGÖTLANDS LÄN</t>
        </is>
      </c>
      <c r="E408" t="inlineStr">
        <is>
          <t>MOTALA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55119-2021</t>
        </is>
      </c>
      <c r="B409" s="1" t="n">
        <v>44474</v>
      </c>
      <c r="C409" s="1" t="n">
        <v>45850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55441-2021</t>
        </is>
      </c>
      <c r="B410" s="1" t="n">
        <v>44475</v>
      </c>
      <c r="C410" s="1" t="n">
        <v>45850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57841-2021</t>
        </is>
      </c>
      <c r="B411" s="1" t="n">
        <v>44484</v>
      </c>
      <c r="C411" s="1" t="n">
        <v>45850</v>
      </c>
      <c r="D411" t="inlineStr">
        <is>
          <t>ÖSTERGÖTLANDS LÄN</t>
        </is>
      </c>
      <c r="E411" t="inlineStr">
        <is>
          <t>MOTALA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57981-2021</t>
        </is>
      </c>
      <c r="B412" s="1" t="n">
        <v>44487</v>
      </c>
      <c r="C412" s="1" t="n">
        <v>45850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57992-2021</t>
        </is>
      </c>
      <c r="B413" s="1" t="n">
        <v>44487</v>
      </c>
      <c r="C413" s="1" t="n">
        <v>45850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60029-2021</t>
        </is>
      </c>
      <c r="B414" s="1" t="n">
        <v>44494</v>
      </c>
      <c r="C414" s="1" t="n">
        <v>45850</v>
      </c>
      <c r="D414" t="inlineStr">
        <is>
          <t>ÖSTERGÖTLANDS LÄN</t>
        </is>
      </c>
      <c r="E414" t="inlineStr">
        <is>
          <t>MOTALA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60618-2021</t>
        </is>
      </c>
      <c r="B415" s="1" t="n">
        <v>44496</v>
      </c>
      <c r="C415" s="1" t="n">
        <v>45850</v>
      </c>
      <c r="D415" t="inlineStr">
        <is>
          <t>ÖSTERGÖTLANDS LÄN</t>
        </is>
      </c>
      <c r="E415" t="inlineStr">
        <is>
          <t>MOTALA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62019-2021</t>
        </is>
      </c>
      <c r="B416" s="1" t="n">
        <v>44501</v>
      </c>
      <c r="C416" s="1" t="n">
        <v>45850</v>
      </c>
      <c r="D416" t="inlineStr">
        <is>
          <t>ÖSTERGÖTLANDS LÄN</t>
        </is>
      </c>
      <c r="E416" t="inlineStr">
        <is>
          <t>MOTALA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61769-2021</t>
        </is>
      </c>
      <c r="B417" s="1" t="n">
        <v>44501</v>
      </c>
      <c r="C417" s="1" t="n">
        <v>45850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62550-2021</t>
        </is>
      </c>
      <c r="B418" s="1" t="n">
        <v>44503</v>
      </c>
      <c r="C418" s="1" t="n">
        <v>45850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62542-2021</t>
        </is>
      </c>
      <c r="B419" s="1" t="n">
        <v>44503</v>
      </c>
      <c r="C419" s="1" t="n">
        <v>45850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62548-2021</t>
        </is>
      </c>
      <c r="B420" s="1" t="n">
        <v>44503</v>
      </c>
      <c r="C420" s="1" t="n">
        <v>45850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62556-2021</t>
        </is>
      </c>
      <c r="B421" s="1" t="n">
        <v>44503</v>
      </c>
      <c r="C421" s="1" t="n">
        <v>45850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62549-2021</t>
        </is>
      </c>
      <c r="B422" s="1" t="n">
        <v>44503</v>
      </c>
      <c r="C422" s="1" t="n">
        <v>45850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65566-2021</t>
        </is>
      </c>
      <c r="B423" s="1" t="n">
        <v>44516</v>
      </c>
      <c r="C423" s="1" t="n">
        <v>45850</v>
      </c>
      <c r="D423" t="inlineStr">
        <is>
          <t>ÖSTERGÖTLANDS LÄN</t>
        </is>
      </c>
      <c r="E423" t="inlineStr">
        <is>
          <t>MOTALA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65561-2021</t>
        </is>
      </c>
      <c r="B424" s="1" t="n">
        <v>44516</v>
      </c>
      <c r="C424" s="1" t="n">
        <v>45850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66194-2021</t>
        </is>
      </c>
      <c r="B425" s="1" t="n">
        <v>44518</v>
      </c>
      <c r="C425" s="1" t="n">
        <v>45850</v>
      </c>
      <c r="D425" t="inlineStr">
        <is>
          <t>ÖSTERGÖTLANDS LÄN</t>
        </is>
      </c>
      <c r="E425" t="inlineStr">
        <is>
          <t>MOTALA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66190-2021</t>
        </is>
      </c>
      <c r="B426" s="1" t="n">
        <v>44518</v>
      </c>
      <c r="C426" s="1" t="n">
        <v>45850</v>
      </c>
      <c r="D426" t="inlineStr">
        <is>
          <t>ÖSTERGÖTLANDS LÄN</t>
        </is>
      </c>
      <c r="E426" t="inlineStr">
        <is>
          <t>MOTALA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66195-2021</t>
        </is>
      </c>
      <c r="B427" s="1" t="n">
        <v>44518</v>
      </c>
      <c r="C427" s="1" t="n">
        <v>45850</v>
      </c>
      <c r="D427" t="inlineStr">
        <is>
          <t>ÖSTERGÖTLANDS LÄN</t>
        </is>
      </c>
      <c r="E427" t="inlineStr">
        <is>
          <t>MOTALA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66199-2021</t>
        </is>
      </c>
      <c r="B428" s="1" t="n">
        <v>44518</v>
      </c>
      <c r="C428" s="1" t="n">
        <v>45850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67748-2021</t>
        </is>
      </c>
      <c r="B429" s="1" t="n">
        <v>44525</v>
      </c>
      <c r="C429" s="1" t="n">
        <v>45850</v>
      </c>
      <c r="D429" t="inlineStr">
        <is>
          <t>ÖSTERGÖTLANDS LÄN</t>
        </is>
      </c>
      <c r="E429" t="inlineStr">
        <is>
          <t>MOTALA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68288-2021</t>
        </is>
      </c>
      <c r="B430" s="1" t="n">
        <v>44526</v>
      </c>
      <c r="C430" s="1" t="n">
        <v>45850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68348-2021</t>
        </is>
      </c>
      <c r="B431" s="1" t="n">
        <v>44528</v>
      </c>
      <c r="C431" s="1" t="n">
        <v>45850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70564-2021</t>
        </is>
      </c>
      <c r="B432" s="1" t="n">
        <v>44537</v>
      </c>
      <c r="C432" s="1" t="n">
        <v>45850</v>
      </c>
      <c r="D432" t="inlineStr">
        <is>
          <t>ÖSTERGÖTLANDS LÄN</t>
        </is>
      </c>
      <c r="E432" t="inlineStr">
        <is>
          <t>MOTALA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71205-2021</t>
        </is>
      </c>
      <c r="B433" s="1" t="n">
        <v>44539</v>
      </c>
      <c r="C433" s="1" t="n">
        <v>45850</v>
      </c>
      <c r="D433" t="inlineStr">
        <is>
          <t>ÖSTERGÖTLANDS LÄN</t>
        </is>
      </c>
      <c r="E433" t="inlineStr">
        <is>
          <t>MOTALA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71984-2021</t>
        </is>
      </c>
      <c r="B434" s="1" t="n">
        <v>44544</v>
      </c>
      <c r="C434" s="1" t="n">
        <v>45850</v>
      </c>
      <c r="D434" t="inlineStr">
        <is>
          <t>ÖSTERGÖTLANDS LÄN</t>
        </is>
      </c>
      <c r="E434" t="inlineStr">
        <is>
          <t>MOTALA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72847-2021</t>
        </is>
      </c>
      <c r="B435" s="1" t="n">
        <v>44547</v>
      </c>
      <c r="C435" s="1" t="n">
        <v>45850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73526-2021</t>
        </is>
      </c>
      <c r="B436" s="1" t="n">
        <v>44551</v>
      </c>
      <c r="C436" s="1" t="n">
        <v>45850</v>
      </c>
      <c r="D436" t="inlineStr">
        <is>
          <t>ÖSTERGÖTLANDS LÄN</t>
        </is>
      </c>
      <c r="E436" t="inlineStr">
        <is>
          <t>MOTALA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261-2022</t>
        </is>
      </c>
      <c r="B437" s="1" t="n">
        <v>44565</v>
      </c>
      <c r="C437" s="1" t="n">
        <v>45850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567-2022</t>
        </is>
      </c>
      <c r="B438" s="1" t="n">
        <v>44566</v>
      </c>
      <c r="C438" s="1" t="n">
        <v>45850</v>
      </c>
      <c r="D438" t="inlineStr">
        <is>
          <t>ÖSTERGÖTLANDS LÄN</t>
        </is>
      </c>
      <c r="E438" t="inlineStr">
        <is>
          <t>MOTALA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940-2022</t>
        </is>
      </c>
      <c r="B439" s="1" t="n">
        <v>44571</v>
      </c>
      <c r="C439" s="1" t="n">
        <v>45850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987-2022</t>
        </is>
      </c>
      <c r="B440" s="1" t="n">
        <v>44571</v>
      </c>
      <c r="C440" s="1" t="n">
        <v>45850</v>
      </c>
      <c r="D440" t="inlineStr">
        <is>
          <t>ÖSTERGÖTLANDS LÄN</t>
        </is>
      </c>
      <c r="E440" t="inlineStr">
        <is>
          <t>MOTALA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1211-2022</t>
        </is>
      </c>
      <c r="B441" s="1" t="n">
        <v>44572</v>
      </c>
      <c r="C441" s="1" t="n">
        <v>45850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1651-2022</t>
        </is>
      </c>
      <c r="B442" s="1" t="n">
        <v>44573</v>
      </c>
      <c r="C442" s="1" t="n">
        <v>45850</v>
      </c>
      <c r="D442" t="inlineStr">
        <is>
          <t>ÖSTERGÖTLANDS LÄN</t>
        </is>
      </c>
      <c r="E442" t="inlineStr">
        <is>
          <t>MOTALA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1645-2022</t>
        </is>
      </c>
      <c r="B443" s="1" t="n">
        <v>44573</v>
      </c>
      <c r="C443" s="1" t="n">
        <v>45850</v>
      </c>
      <c r="D443" t="inlineStr">
        <is>
          <t>ÖSTERGÖTLANDS LÄN</t>
        </is>
      </c>
      <c r="E443" t="inlineStr">
        <is>
          <t>MOTALA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1644-2022</t>
        </is>
      </c>
      <c r="B444" s="1" t="n">
        <v>44574</v>
      </c>
      <c r="C444" s="1" t="n">
        <v>45850</v>
      </c>
      <c r="D444" t="inlineStr">
        <is>
          <t>ÖSTERGÖTLANDS LÄN</t>
        </is>
      </c>
      <c r="E444" t="inlineStr">
        <is>
          <t>MOTALA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1646-2022</t>
        </is>
      </c>
      <c r="B445" s="1" t="n">
        <v>44574</v>
      </c>
      <c r="C445" s="1" t="n">
        <v>45850</v>
      </c>
      <c r="D445" t="inlineStr">
        <is>
          <t>ÖSTERGÖTLANDS LÄN</t>
        </is>
      </c>
      <c r="E445" t="inlineStr">
        <is>
          <t>MOTALA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2028-2022</t>
        </is>
      </c>
      <c r="B446" s="1" t="n">
        <v>44575</v>
      </c>
      <c r="C446" s="1" t="n">
        <v>45850</v>
      </c>
      <c r="D446" t="inlineStr">
        <is>
          <t>ÖSTERGÖTLANDS LÄN</t>
        </is>
      </c>
      <c r="E446" t="inlineStr">
        <is>
          <t>MOTALA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3967-2022</t>
        </is>
      </c>
      <c r="B447" s="1" t="n">
        <v>44586</v>
      </c>
      <c r="C447" s="1" t="n">
        <v>45850</v>
      </c>
      <c r="D447" t="inlineStr">
        <is>
          <t>ÖSTERGÖTLANDS LÄN</t>
        </is>
      </c>
      <c r="E447" t="inlineStr">
        <is>
          <t>MOTALA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4145-2022</t>
        </is>
      </c>
      <c r="B448" s="1" t="n">
        <v>44588</v>
      </c>
      <c r="C448" s="1" t="n">
        <v>45850</v>
      </c>
      <c r="D448" t="inlineStr">
        <is>
          <t>ÖSTERGÖTLANDS LÄN</t>
        </is>
      </c>
      <c r="E448" t="inlineStr">
        <is>
          <t>MOTALA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4743-2022</t>
        </is>
      </c>
      <c r="B449" s="1" t="n">
        <v>44592</v>
      </c>
      <c r="C449" s="1" t="n">
        <v>45850</v>
      </c>
      <c r="D449" t="inlineStr">
        <is>
          <t>ÖSTERGÖTLANDS LÄN</t>
        </is>
      </c>
      <c r="E449" t="inlineStr">
        <is>
          <t>MOTALA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5157-2022</t>
        </is>
      </c>
      <c r="B450" s="1" t="n">
        <v>44594</v>
      </c>
      <c r="C450" s="1" t="n">
        <v>45850</v>
      </c>
      <c r="D450" t="inlineStr">
        <is>
          <t>ÖSTERGÖTLANDS LÄN</t>
        </is>
      </c>
      <c r="E450" t="inlineStr">
        <is>
          <t>MOTALA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5887-2022</t>
        </is>
      </c>
      <c r="B451" s="1" t="n">
        <v>44596</v>
      </c>
      <c r="C451" s="1" t="n">
        <v>45850</v>
      </c>
      <c r="D451" t="inlineStr">
        <is>
          <t>ÖSTERGÖTLANDS LÄN</t>
        </is>
      </c>
      <c r="E451" t="inlineStr">
        <is>
          <t>MOTALA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6793-2022</t>
        </is>
      </c>
      <c r="B452" s="1" t="n">
        <v>44602</v>
      </c>
      <c r="C452" s="1" t="n">
        <v>45850</v>
      </c>
      <c r="D452" t="inlineStr">
        <is>
          <t>ÖSTERGÖTLANDS LÄN</t>
        </is>
      </c>
      <c r="E452" t="inlineStr">
        <is>
          <t>MOTALA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6993-2022</t>
        </is>
      </c>
      <c r="B453" s="1" t="n">
        <v>44603</v>
      </c>
      <c r="C453" s="1" t="n">
        <v>45850</v>
      </c>
      <c r="D453" t="inlineStr">
        <is>
          <t>ÖSTERGÖTLANDS LÄN</t>
        </is>
      </c>
      <c r="E453" t="inlineStr">
        <is>
          <t>MOTALA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7318-2022</t>
        </is>
      </c>
      <c r="B454" s="1" t="n">
        <v>44606</v>
      </c>
      <c r="C454" s="1" t="n">
        <v>45850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7295-2022</t>
        </is>
      </c>
      <c r="B455" s="1" t="n">
        <v>44606</v>
      </c>
      <c r="C455" s="1" t="n">
        <v>45850</v>
      </c>
      <c r="D455" t="inlineStr">
        <is>
          <t>ÖSTERGÖTLANDS LÄN</t>
        </is>
      </c>
      <c r="E455" t="inlineStr">
        <is>
          <t>MOTALA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7710-2022</t>
        </is>
      </c>
      <c r="B456" s="1" t="n">
        <v>44608</v>
      </c>
      <c r="C456" s="1" t="n">
        <v>45850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7925-2022</t>
        </is>
      </c>
      <c r="B457" s="1" t="n">
        <v>44608</v>
      </c>
      <c r="C457" s="1" t="n">
        <v>45850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7927-2022</t>
        </is>
      </c>
      <c r="B458" s="1" t="n">
        <v>44608</v>
      </c>
      <c r="C458" s="1" t="n">
        <v>45850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8021-2022</t>
        </is>
      </c>
      <c r="B459" s="1" t="n">
        <v>44609</v>
      </c>
      <c r="C459" s="1" t="n">
        <v>45850</v>
      </c>
      <c r="D459" t="inlineStr">
        <is>
          <t>ÖSTERGÖTLANDS LÄN</t>
        </is>
      </c>
      <c r="E459" t="inlineStr">
        <is>
          <t>MOTALA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8724-2022</t>
        </is>
      </c>
      <c r="B460" s="1" t="n">
        <v>44613</v>
      </c>
      <c r="C460" s="1" t="n">
        <v>45850</v>
      </c>
      <c r="D460" t="inlineStr">
        <is>
          <t>ÖSTERGÖTLANDS LÄN</t>
        </is>
      </c>
      <c r="E460" t="inlineStr">
        <is>
          <t>MOTALA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9081-2022</t>
        </is>
      </c>
      <c r="B461" s="1" t="n">
        <v>44615</v>
      </c>
      <c r="C461" s="1" t="n">
        <v>45850</v>
      </c>
      <c r="D461" t="inlineStr">
        <is>
          <t>ÖSTERGÖTLANDS LÄN</t>
        </is>
      </c>
      <c r="E461" t="inlineStr">
        <is>
          <t>MOTALA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9094-2022</t>
        </is>
      </c>
      <c r="B462" s="1" t="n">
        <v>44615</v>
      </c>
      <c r="C462" s="1" t="n">
        <v>45850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9708-2022</t>
        </is>
      </c>
      <c r="B463" s="1" t="n">
        <v>44617</v>
      </c>
      <c r="C463" s="1" t="n">
        <v>45850</v>
      </c>
      <c r="D463" t="inlineStr">
        <is>
          <t>ÖSTERGÖTLANDS LÄN</t>
        </is>
      </c>
      <c r="E463" t="inlineStr">
        <is>
          <t>MOTALA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10678-2022</t>
        </is>
      </c>
      <c r="B464" s="1" t="n">
        <v>44624</v>
      </c>
      <c r="C464" s="1" t="n">
        <v>45850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11041-2022</t>
        </is>
      </c>
      <c r="B465" s="1" t="n">
        <v>44628</v>
      </c>
      <c r="C465" s="1" t="n">
        <v>45850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11057-2022</t>
        </is>
      </c>
      <c r="B466" s="1" t="n">
        <v>44628</v>
      </c>
      <c r="C466" s="1" t="n">
        <v>45850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11051-2022</t>
        </is>
      </c>
      <c r="B467" s="1" t="n">
        <v>44628</v>
      </c>
      <c r="C467" s="1" t="n">
        <v>45850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11061-2022</t>
        </is>
      </c>
      <c r="B468" s="1" t="n">
        <v>44628</v>
      </c>
      <c r="C468" s="1" t="n">
        <v>45850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12275-2022</t>
        </is>
      </c>
      <c r="B469" s="1" t="n">
        <v>44637</v>
      </c>
      <c r="C469" s="1" t="n">
        <v>45850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12274-2022</t>
        </is>
      </c>
      <c r="B470" s="1" t="n">
        <v>44637</v>
      </c>
      <c r="C470" s="1" t="n">
        <v>45850</v>
      </c>
      <c r="D470" t="inlineStr">
        <is>
          <t>ÖSTERGÖTLANDS LÄN</t>
        </is>
      </c>
      <c r="E470" t="inlineStr">
        <is>
          <t>MOTALA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12643-2022</t>
        </is>
      </c>
      <c r="B471" s="1" t="n">
        <v>44641</v>
      </c>
      <c r="C471" s="1" t="n">
        <v>45850</v>
      </c>
      <c r="D471" t="inlineStr">
        <is>
          <t>ÖSTERGÖTLANDS LÄN</t>
        </is>
      </c>
      <c r="E471" t="inlineStr">
        <is>
          <t>MOTALA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13422-2022</t>
        </is>
      </c>
      <c r="B472" s="1" t="n">
        <v>44645</v>
      </c>
      <c r="C472" s="1" t="n">
        <v>45850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13420-2022</t>
        </is>
      </c>
      <c r="B473" s="1" t="n">
        <v>44645</v>
      </c>
      <c r="C473" s="1" t="n">
        <v>45850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13550-2022</t>
        </is>
      </c>
      <c r="B474" s="1" t="n">
        <v>44648</v>
      </c>
      <c r="C474" s="1" t="n">
        <v>45850</v>
      </c>
      <c r="D474" t="inlineStr">
        <is>
          <t>ÖSTERGÖTLANDS LÄN</t>
        </is>
      </c>
      <c r="E474" t="inlineStr">
        <is>
          <t>MOTALA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14201-2022</t>
        </is>
      </c>
      <c r="B475" s="1" t="n">
        <v>44651</v>
      </c>
      <c r="C475" s="1" t="n">
        <v>45850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14208-2022</t>
        </is>
      </c>
      <c r="B476" s="1" t="n">
        <v>44651</v>
      </c>
      <c r="C476" s="1" t="n">
        <v>45850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14520-2022</t>
        </is>
      </c>
      <c r="B477" s="1" t="n">
        <v>44655</v>
      </c>
      <c r="C477" s="1" t="n">
        <v>45850</v>
      </c>
      <c r="D477" t="inlineStr">
        <is>
          <t>ÖSTERGÖTLANDS LÄN</t>
        </is>
      </c>
      <c r="E477" t="inlineStr">
        <is>
          <t>MOTALA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17008-2022</t>
        </is>
      </c>
      <c r="B478" s="1" t="n">
        <v>44676</v>
      </c>
      <c r="C478" s="1" t="n">
        <v>45850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17071-2022</t>
        </is>
      </c>
      <c r="B479" s="1" t="n">
        <v>44677</v>
      </c>
      <c r="C479" s="1" t="n">
        <v>45850</v>
      </c>
      <c r="D479" t="inlineStr">
        <is>
          <t>ÖSTERGÖTLANDS LÄN</t>
        </is>
      </c>
      <c r="E479" t="inlineStr">
        <is>
          <t>MOTALA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17543-2022</t>
        </is>
      </c>
      <c r="B480" s="1" t="n">
        <v>44679</v>
      </c>
      <c r="C480" s="1" t="n">
        <v>45850</v>
      </c>
      <c r="D480" t="inlineStr">
        <is>
          <t>ÖSTERGÖTLANDS LÄN</t>
        </is>
      </c>
      <c r="E480" t="inlineStr">
        <is>
          <t>MOTALA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18123-2022</t>
        </is>
      </c>
      <c r="B481" s="1" t="n">
        <v>44684</v>
      </c>
      <c r="C481" s="1" t="n">
        <v>45850</v>
      </c>
      <c r="D481" t="inlineStr">
        <is>
          <t>ÖSTERGÖTLANDS LÄN</t>
        </is>
      </c>
      <c r="E481" t="inlineStr">
        <is>
          <t>MOTALA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19229-2022</t>
        </is>
      </c>
      <c r="B482" s="1" t="n">
        <v>44692</v>
      </c>
      <c r="C482" s="1" t="n">
        <v>45850</v>
      </c>
      <c r="D482" t="inlineStr">
        <is>
          <t>ÖSTERGÖTLANDS LÄN</t>
        </is>
      </c>
      <c r="E482" t="inlineStr">
        <is>
          <t>MOTALA</t>
        </is>
      </c>
      <c r="F482" t="inlineStr">
        <is>
          <t>Övriga statliga verk och myndigheter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20920-2022</t>
        </is>
      </c>
      <c r="B483" s="1" t="n">
        <v>44701</v>
      </c>
      <c r="C483" s="1" t="n">
        <v>45850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23886-2022</t>
        </is>
      </c>
      <c r="B484" s="1" t="n">
        <v>44722</v>
      </c>
      <c r="C484" s="1" t="n">
        <v>45850</v>
      </c>
      <c r="D484" t="inlineStr">
        <is>
          <t>ÖSTERGÖTLANDS LÄN</t>
        </is>
      </c>
      <c r="E484" t="inlineStr">
        <is>
          <t>MOTALA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24252-2022</t>
        </is>
      </c>
      <c r="B485" s="1" t="n">
        <v>44725</v>
      </c>
      <c r="C485" s="1" t="n">
        <v>45850</v>
      </c>
      <c r="D485" t="inlineStr">
        <is>
          <t>ÖSTERGÖTLANDS LÄN</t>
        </is>
      </c>
      <c r="E485" t="inlineStr">
        <is>
          <t>MOTALA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24247-2022</t>
        </is>
      </c>
      <c r="B486" s="1" t="n">
        <v>44725</v>
      </c>
      <c r="C486" s="1" t="n">
        <v>45850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24251-2022</t>
        </is>
      </c>
      <c r="B487" s="1" t="n">
        <v>44725</v>
      </c>
      <c r="C487" s="1" t="n">
        <v>45850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24254-2022</t>
        </is>
      </c>
      <c r="B488" s="1" t="n">
        <v>44725</v>
      </c>
      <c r="C488" s="1" t="n">
        <v>45850</v>
      </c>
      <c r="D488" t="inlineStr">
        <is>
          <t>ÖSTERGÖTLANDS LÄN</t>
        </is>
      </c>
      <c r="E488" t="inlineStr">
        <is>
          <t>MOTALA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25977-2022</t>
        </is>
      </c>
      <c r="B489" s="1" t="n">
        <v>44734</v>
      </c>
      <c r="C489" s="1" t="n">
        <v>45850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26755-2022</t>
        </is>
      </c>
      <c r="B490" s="1" t="n">
        <v>44740</v>
      </c>
      <c r="C490" s="1" t="n">
        <v>45850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27214-2022</t>
        </is>
      </c>
      <c r="B491" s="1" t="n">
        <v>44741</v>
      </c>
      <c r="C491" s="1" t="n">
        <v>45850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27416-2022</t>
        </is>
      </c>
      <c r="B492" s="1" t="n">
        <v>44742</v>
      </c>
      <c r="C492" s="1" t="n">
        <v>45850</v>
      </c>
      <c r="D492" t="inlineStr">
        <is>
          <t>ÖSTERGÖTLANDS LÄN</t>
        </is>
      </c>
      <c r="E492" t="inlineStr">
        <is>
          <t>MOTALA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27418-2022</t>
        </is>
      </c>
      <c r="B493" s="1" t="n">
        <v>44742</v>
      </c>
      <c r="C493" s="1" t="n">
        <v>45850</v>
      </c>
      <c r="D493" t="inlineStr">
        <is>
          <t>ÖSTERGÖTLANDS LÄN</t>
        </is>
      </c>
      <c r="E493" t="inlineStr">
        <is>
          <t>MOTALA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28395-2022</t>
        </is>
      </c>
      <c r="B494" s="1" t="n">
        <v>44747</v>
      </c>
      <c r="C494" s="1" t="n">
        <v>45850</v>
      </c>
      <c r="D494" t="inlineStr">
        <is>
          <t>ÖSTERGÖTLANDS LÄN</t>
        </is>
      </c>
      <c r="E494" t="inlineStr">
        <is>
          <t>MOTALA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28686-2022</t>
        </is>
      </c>
      <c r="B495" s="1" t="n">
        <v>44748</v>
      </c>
      <c r="C495" s="1" t="n">
        <v>45850</v>
      </c>
      <c r="D495" t="inlineStr">
        <is>
          <t>ÖSTERGÖTLANDS LÄN</t>
        </is>
      </c>
      <c r="E495" t="inlineStr">
        <is>
          <t>MOTALA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28681-2022</t>
        </is>
      </c>
      <c r="B496" s="1" t="n">
        <v>44748</v>
      </c>
      <c r="C496" s="1" t="n">
        <v>45850</v>
      </c>
      <c r="D496" t="inlineStr">
        <is>
          <t>ÖSTERGÖTLANDS LÄN</t>
        </is>
      </c>
      <c r="E496" t="inlineStr">
        <is>
          <t>MOTALA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28902-2022</t>
        </is>
      </c>
      <c r="B497" s="1" t="n">
        <v>44749</v>
      </c>
      <c r="C497" s="1" t="n">
        <v>45850</v>
      </c>
      <c r="D497" t="inlineStr">
        <is>
          <t>ÖSTERGÖTLANDS LÄN</t>
        </is>
      </c>
      <c r="E497" t="inlineStr">
        <is>
          <t>MOTALA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29077-2022</t>
        </is>
      </c>
      <c r="B498" s="1" t="n">
        <v>44750</v>
      </c>
      <c r="C498" s="1" t="n">
        <v>45850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29743-2022</t>
        </is>
      </c>
      <c r="B499" s="1" t="n">
        <v>44755</v>
      </c>
      <c r="C499" s="1" t="n">
        <v>45850</v>
      </c>
      <c r="D499" t="inlineStr">
        <is>
          <t>ÖSTERGÖTLANDS LÄN</t>
        </is>
      </c>
      <c r="E499" t="inlineStr">
        <is>
          <t>MOTALA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31683-2022</t>
        </is>
      </c>
      <c r="B500" s="1" t="n">
        <v>44776</v>
      </c>
      <c r="C500" s="1" t="n">
        <v>45850</v>
      </c>
      <c r="D500" t="inlineStr">
        <is>
          <t>ÖSTERGÖTLANDS LÄN</t>
        </is>
      </c>
      <c r="E500" t="inlineStr">
        <is>
          <t>MOTALA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31744-2022</t>
        </is>
      </c>
      <c r="B501" s="1" t="n">
        <v>44776</v>
      </c>
      <c r="C501" s="1" t="n">
        <v>45850</v>
      </c>
      <c r="D501" t="inlineStr">
        <is>
          <t>ÖSTERGÖTLANDS LÄN</t>
        </is>
      </c>
      <c r="E501" t="inlineStr">
        <is>
          <t>MOTALA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31753-2022</t>
        </is>
      </c>
      <c r="B502" s="1" t="n">
        <v>44776</v>
      </c>
      <c r="C502" s="1" t="n">
        <v>45850</v>
      </c>
      <c r="D502" t="inlineStr">
        <is>
          <t>ÖSTERGÖTLANDS LÄN</t>
        </is>
      </c>
      <c r="E502" t="inlineStr">
        <is>
          <t>MOTALA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32470-2022</t>
        </is>
      </c>
      <c r="B503" s="1" t="n">
        <v>44782</v>
      </c>
      <c r="C503" s="1" t="n">
        <v>45850</v>
      </c>
      <c r="D503" t="inlineStr">
        <is>
          <t>ÖSTERGÖTLANDS LÄN</t>
        </is>
      </c>
      <c r="E503" t="inlineStr">
        <is>
          <t>MOTALA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34877-2022</t>
        </is>
      </c>
      <c r="B504" s="1" t="n">
        <v>44796</v>
      </c>
      <c r="C504" s="1" t="n">
        <v>45850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35663-2022</t>
        </is>
      </c>
      <c r="B505" s="1" t="n">
        <v>44799</v>
      </c>
      <c r="C505" s="1" t="n">
        <v>45850</v>
      </c>
      <c r="D505" t="inlineStr">
        <is>
          <t>ÖSTERGÖTLANDS LÄN</t>
        </is>
      </c>
      <c r="E505" t="inlineStr">
        <is>
          <t>MOTALA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36725-2022</t>
        </is>
      </c>
      <c r="B506" s="1" t="n">
        <v>44804</v>
      </c>
      <c r="C506" s="1" t="n">
        <v>45850</v>
      </c>
      <c r="D506" t="inlineStr">
        <is>
          <t>ÖSTERGÖTLANDS LÄN</t>
        </is>
      </c>
      <c r="E506" t="inlineStr">
        <is>
          <t>MOTALA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37473-2022</t>
        </is>
      </c>
      <c r="B507" s="1" t="n">
        <v>44809</v>
      </c>
      <c r="C507" s="1" t="n">
        <v>45850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37477-2022</t>
        </is>
      </c>
      <c r="B508" s="1" t="n">
        <v>44809</v>
      </c>
      <c r="C508" s="1" t="n">
        <v>45850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37465-2022</t>
        </is>
      </c>
      <c r="B509" s="1" t="n">
        <v>44809</v>
      </c>
      <c r="C509" s="1" t="n">
        <v>45850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37496-2022</t>
        </is>
      </c>
      <c r="B510" s="1" t="n">
        <v>44809</v>
      </c>
      <c r="C510" s="1" t="n">
        <v>45850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39072-2022</t>
        </is>
      </c>
      <c r="B511" s="1" t="n">
        <v>44816</v>
      </c>
      <c r="C511" s="1" t="n">
        <v>45850</v>
      </c>
      <c r="D511" t="inlineStr">
        <is>
          <t>ÖSTERGÖTLANDS LÄN</t>
        </is>
      </c>
      <c r="E511" t="inlineStr">
        <is>
          <t>MOTALA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39020-2022</t>
        </is>
      </c>
      <c r="B512" s="1" t="n">
        <v>44817</v>
      </c>
      <c r="C512" s="1" t="n">
        <v>45850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40538-2022</t>
        </is>
      </c>
      <c r="B513" s="1" t="n">
        <v>44819</v>
      </c>
      <c r="C513" s="1" t="n">
        <v>45850</v>
      </c>
      <c r="D513" t="inlineStr">
        <is>
          <t>ÖSTERGÖTLANDS LÄN</t>
        </is>
      </c>
      <c r="E513" t="inlineStr">
        <is>
          <t>MOTALA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40528-2022</t>
        </is>
      </c>
      <c r="B514" s="1" t="n">
        <v>44819</v>
      </c>
      <c r="C514" s="1" t="n">
        <v>45850</v>
      </c>
      <c r="D514" t="inlineStr">
        <is>
          <t>ÖSTERGÖTLANDS LÄN</t>
        </is>
      </c>
      <c r="E514" t="inlineStr">
        <is>
          <t>MOTALA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40518-2022</t>
        </is>
      </c>
      <c r="B515" s="1" t="n">
        <v>44819</v>
      </c>
      <c r="C515" s="1" t="n">
        <v>45850</v>
      </c>
      <c r="D515" t="inlineStr">
        <is>
          <t>ÖSTERGÖTLANDS LÄN</t>
        </is>
      </c>
      <c r="E515" t="inlineStr">
        <is>
          <t>MOTALA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40776-2022</t>
        </is>
      </c>
      <c r="B516" s="1" t="n">
        <v>44824</v>
      </c>
      <c r="C516" s="1" t="n">
        <v>45850</v>
      </c>
      <c r="D516" t="inlineStr">
        <is>
          <t>ÖSTERGÖTLANDS LÄN</t>
        </is>
      </c>
      <c r="E516" t="inlineStr">
        <is>
          <t>MOTALA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42001-2022</t>
        </is>
      </c>
      <c r="B517" s="1" t="n">
        <v>44827</v>
      </c>
      <c r="C517" s="1" t="n">
        <v>45850</v>
      </c>
      <c r="D517" t="inlineStr">
        <is>
          <t>ÖSTERGÖTLANDS LÄN</t>
        </is>
      </c>
      <c r="E517" t="inlineStr">
        <is>
          <t>MOTALA</t>
        </is>
      </c>
      <c r="F517" t="inlineStr">
        <is>
          <t>Övriga statliga verk och myndigheter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41901-2022</t>
        </is>
      </c>
      <c r="B518" s="1" t="n">
        <v>44830</v>
      </c>
      <c r="C518" s="1" t="n">
        <v>45850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41928-2022</t>
        </is>
      </c>
      <c r="B519" s="1" t="n">
        <v>44830</v>
      </c>
      <c r="C519" s="1" t="n">
        <v>45850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41937-2022</t>
        </is>
      </c>
      <c r="B520" s="1" t="n">
        <v>44830</v>
      </c>
      <c r="C520" s="1" t="n">
        <v>45850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41944-2022</t>
        </is>
      </c>
      <c r="B521" s="1" t="n">
        <v>44830</v>
      </c>
      <c r="C521" s="1" t="n">
        <v>45850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41897-2022</t>
        </is>
      </c>
      <c r="B522" s="1" t="n">
        <v>44830</v>
      </c>
      <c r="C522" s="1" t="n">
        <v>45850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41924-2022</t>
        </is>
      </c>
      <c r="B523" s="1" t="n">
        <v>44830</v>
      </c>
      <c r="C523" s="1" t="n">
        <v>45850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41929-2022</t>
        </is>
      </c>
      <c r="B524" s="1" t="n">
        <v>44830</v>
      </c>
      <c r="C524" s="1" t="n">
        <v>45850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41939-2022</t>
        </is>
      </c>
      <c r="B525" s="1" t="n">
        <v>44830</v>
      </c>
      <c r="C525" s="1" t="n">
        <v>45850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41898-2022</t>
        </is>
      </c>
      <c r="B526" s="1" t="n">
        <v>44830</v>
      </c>
      <c r="C526" s="1" t="n">
        <v>45850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41907-2022</t>
        </is>
      </c>
      <c r="B527" s="1" t="n">
        <v>44830</v>
      </c>
      <c r="C527" s="1" t="n">
        <v>45850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41911-2022</t>
        </is>
      </c>
      <c r="B528" s="1" t="n">
        <v>44830</v>
      </c>
      <c r="C528" s="1" t="n">
        <v>45850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41925-2022</t>
        </is>
      </c>
      <c r="B529" s="1" t="n">
        <v>44830</v>
      </c>
      <c r="C529" s="1" t="n">
        <v>45850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41930-2022</t>
        </is>
      </c>
      <c r="B530" s="1" t="n">
        <v>44830</v>
      </c>
      <c r="C530" s="1" t="n">
        <v>45850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41942-2022</t>
        </is>
      </c>
      <c r="B531" s="1" t="n">
        <v>44830</v>
      </c>
      <c r="C531" s="1" t="n">
        <v>45850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41920-2022</t>
        </is>
      </c>
      <c r="B532" s="1" t="n">
        <v>44830</v>
      </c>
      <c r="C532" s="1" t="n">
        <v>45850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41926-2022</t>
        </is>
      </c>
      <c r="B533" s="1" t="n">
        <v>44830</v>
      </c>
      <c r="C533" s="1" t="n">
        <v>45850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41931-2022</t>
        </is>
      </c>
      <c r="B534" s="1" t="n">
        <v>44830</v>
      </c>
      <c r="C534" s="1" t="n">
        <v>45850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41943-2022</t>
        </is>
      </c>
      <c r="B535" s="1" t="n">
        <v>44830</v>
      </c>
      <c r="C535" s="1" t="n">
        <v>45850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41945-2022</t>
        </is>
      </c>
      <c r="B536" s="1" t="n">
        <v>44830</v>
      </c>
      <c r="C536" s="1" t="n">
        <v>45850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42819-2022</t>
        </is>
      </c>
      <c r="B537" s="1" t="n">
        <v>44832</v>
      </c>
      <c r="C537" s="1" t="n">
        <v>45850</v>
      </c>
      <c r="D537" t="inlineStr">
        <is>
          <t>ÖSTERGÖTLANDS LÄN</t>
        </is>
      </c>
      <c r="E537" t="inlineStr">
        <is>
          <t>MOTALA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43381-2022</t>
        </is>
      </c>
      <c r="B538" s="1" t="n">
        <v>44834</v>
      </c>
      <c r="C538" s="1" t="n">
        <v>45850</v>
      </c>
      <c r="D538" t="inlineStr">
        <is>
          <t>ÖSTERGÖTLANDS LÄN</t>
        </is>
      </c>
      <c r="E538" t="inlineStr">
        <is>
          <t>MOTALA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43832-2022</t>
        </is>
      </c>
      <c r="B539" s="1" t="n">
        <v>44837</v>
      </c>
      <c r="C539" s="1" t="n">
        <v>45850</v>
      </c>
      <c r="D539" t="inlineStr">
        <is>
          <t>ÖSTERGÖTLANDS LÄN</t>
        </is>
      </c>
      <c r="E539" t="inlineStr">
        <is>
          <t>MOTALA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46210-2022</t>
        </is>
      </c>
      <c r="B540" s="1" t="n">
        <v>44846</v>
      </c>
      <c r="C540" s="1" t="n">
        <v>45850</v>
      </c>
      <c r="D540" t="inlineStr">
        <is>
          <t>ÖSTERGÖTLANDS LÄN</t>
        </is>
      </c>
      <c r="E540" t="inlineStr">
        <is>
          <t>MOTALA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46858-2022</t>
        </is>
      </c>
      <c r="B541" s="1" t="n">
        <v>44851</v>
      </c>
      <c r="C541" s="1" t="n">
        <v>45850</v>
      </c>
      <c r="D541" t="inlineStr">
        <is>
          <t>ÖSTERGÖTLANDS LÄN</t>
        </is>
      </c>
      <c r="E541" t="inlineStr">
        <is>
          <t>MOTALA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47177-2022</t>
        </is>
      </c>
      <c r="B542" s="1" t="n">
        <v>44852</v>
      </c>
      <c r="C542" s="1" t="n">
        <v>45850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47147-2022</t>
        </is>
      </c>
      <c r="B543" s="1" t="n">
        <v>44852</v>
      </c>
      <c r="C543" s="1" t="n">
        <v>45850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47510-2022</t>
        </is>
      </c>
      <c r="B544" s="1" t="n">
        <v>44853</v>
      </c>
      <c r="C544" s="1" t="n">
        <v>45850</v>
      </c>
      <c r="D544" t="inlineStr">
        <is>
          <t>ÖSTERGÖTLANDS LÄN</t>
        </is>
      </c>
      <c r="E544" t="inlineStr">
        <is>
          <t>MOTALA</t>
        </is>
      </c>
      <c r="F544" t="inlineStr">
        <is>
          <t>Övriga statliga verk och myndigheter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48458-2022</t>
        </is>
      </c>
      <c r="B545" s="1" t="n">
        <v>44858</v>
      </c>
      <c r="C545" s="1" t="n">
        <v>45850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48164-2022</t>
        </is>
      </c>
      <c r="B546" s="1" t="n">
        <v>44858</v>
      </c>
      <c r="C546" s="1" t="n">
        <v>45850</v>
      </c>
      <c r="D546" t="inlineStr">
        <is>
          <t>ÖSTERGÖTLANDS LÄN</t>
        </is>
      </c>
      <c r="E546" t="inlineStr">
        <is>
          <t>MOTALA</t>
        </is>
      </c>
      <c r="F546" t="inlineStr">
        <is>
          <t>Allmännings- och besparingsskogar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48452-2022</t>
        </is>
      </c>
      <c r="B547" s="1" t="n">
        <v>44858</v>
      </c>
      <c r="C547" s="1" t="n">
        <v>45850</v>
      </c>
      <c r="D547" t="inlineStr">
        <is>
          <t>ÖSTERGÖTLANDS LÄN</t>
        </is>
      </c>
      <c r="E547" t="inlineStr">
        <is>
          <t>MOTALA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49150-2022</t>
        </is>
      </c>
      <c r="B548" s="1" t="n">
        <v>44860</v>
      </c>
      <c r="C548" s="1" t="n">
        <v>45850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50035-2022</t>
        </is>
      </c>
      <c r="B549" s="1" t="n">
        <v>44860</v>
      </c>
      <c r="C549" s="1" t="n">
        <v>45850</v>
      </c>
      <c r="D549" t="inlineStr">
        <is>
          <t>ÖSTERGÖTLANDS LÄN</t>
        </is>
      </c>
      <c r="E549" t="inlineStr">
        <is>
          <t>MOTALA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50051-2022</t>
        </is>
      </c>
      <c r="B550" s="1" t="n">
        <v>44860</v>
      </c>
      <c r="C550" s="1" t="n">
        <v>45850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50082-2022</t>
        </is>
      </c>
      <c r="B551" s="1" t="n">
        <v>44865</v>
      </c>
      <c r="C551" s="1" t="n">
        <v>45850</v>
      </c>
      <c r="D551" t="inlineStr">
        <is>
          <t>ÖSTERGÖTLANDS LÄN</t>
        </is>
      </c>
      <c r="E551" t="inlineStr">
        <is>
          <t>MOTALA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50248-2022</t>
        </is>
      </c>
      <c r="B552" s="1" t="n">
        <v>44865</v>
      </c>
      <c r="C552" s="1" t="n">
        <v>45850</v>
      </c>
      <c r="D552" t="inlineStr">
        <is>
          <t>ÖSTERGÖTLANDS LÄN</t>
        </is>
      </c>
      <c r="E552" t="inlineStr">
        <is>
          <t>MOTALA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51174-2022</t>
        </is>
      </c>
      <c r="B553" s="1" t="n">
        <v>44868</v>
      </c>
      <c r="C553" s="1" t="n">
        <v>45850</v>
      </c>
      <c r="D553" t="inlineStr">
        <is>
          <t>ÖSTERGÖTLANDS LÄN</t>
        </is>
      </c>
      <c r="E553" t="inlineStr">
        <is>
          <t>MOTALA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53491-2022</t>
        </is>
      </c>
      <c r="B554" s="1" t="n">
        <v>44879</v>
      </c>
      <c r="C554" s="1" t="n">
        <v>45850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54125-2022</t>
        </is>
      </c>
      <c r="B555" s="1" t="n">
        <v>44881</v>
      </c>
      <c r="C555" s="1" t="n">
        <v>45850</v>
      </c>
      <c r="D555" t="inlineStr">
        <is>
          <t>ÖSTERGÖTLANDS LÄN</t>
        </is>
      </c>
      <c r="E555" t="inlineStr">
        <is>
          <t>MOTALA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54087-2022</t>
        </is>
      </c>
      <c r="B556" s="1" t="n">
        <v>44881</v>
      </c>
      <c r="C556" s="1" t="n">
        <v>45850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54443-2022</t>
        </is>
      </c>
      <c r="B557" s="1" t="n">
        <v>44882</v>
      </c>
      <c r="C557" s="1" t="n">
        <v>45850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54446-2022</t>
        </is>
      </c>
      <c r="B558" s="1" t="n">
        <v>44882</v>
      </c>
      <c r="C558" s="1" t="n">
        <v>45850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54445-2022</t>
        </is>
      </c>
      <c r="B559" s="1" t="n">
        <v>44882</v>
      </c>
      <c r="C559" s="1" t="n">
        <v>45850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55395-2022</t>
        </is>
      </c>
      <c r="B560" s="1" t="n">
        <v>44887</v>
      </c>
      <c r="C560" s="1" t="n">
        <v>45850</v>
      </c>
      <c r="D560" t="inlineStr">
        <is>
          <t>ÖSTERGÖTLANDS LÄN</t>
        </is>
      </c>
      <c r="E560" t="inlineStr">
        <is>
          <t>MOTALA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55966-2022</t>
        </is>
      </c>
      <c r="B561" s="1" t="n">
        <v>44889</v>
      </c>
      <c r="C561" s="1" t="n">
        <v>45850</v>
      </c>
      <c r="D561" t="inlineStr">
        <is>
          <t>ÖSTERGÖTLANDS LÄN</t>
        </is>
      </c>
      <c r="E561" t="inlineStr">
        <is>
          <t>MOTALA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56275-2022</t>
        </is>
      </c>
      <c r="B562" s="1" t="n">
        <v>44890</v>
      </c>
      <c r="C562" s="1" t="n">
        <v>45850</v>
      </c>
      <c r="D562" t="inlineStr">
        <is>
          <t>ÖSTERGÖTLANDS LÄN</t>
        </is>
      </c>
      <c r="E562" t="inlineStr">
        <is>
          <t>MOTALA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58344-2022</t>
        </is>
      </c>
      <c r="B563" s="1" t="n">
        <v>44893</v>
      </c>
      <c r="C563" s="1" t="n">
        <v>45850</v>
      </c>
      <c r="D563" t="inlineStr">
        <is>
          <t>ÖSTERGÖTLANDS LÄN</t>
        </is>
      </c>
      <c r="E563" t="inlineStr">
        <is>
          <t>MOTALA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58341-2022</t>
        </is>
      </c>
      <c r="B564" s="1" t="n">
        <v>44893</v>
      </c>
      <c r="C564" s="1" t="n">
        <v>45850</v>
      </c>
      <c r="D564" t="inlineStr">
        <is>
          <t>ÖSTERGÖTLANDS LÄN</t>
        </is>
      </c>
      <c r="E564" t="inlineStr">
        <is>
          <t>MOTALA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56866-2022</t>
        </is>
      </c>
      <c r="B565" s="1" t="n">
        <v>44894</v>
      </c>
      <c r="C565" s="1" t="n">
        <v>45850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56867-2022</t>
        </is>
      </c>
      <c r="B566" s="1" t="n">
        <v>44894</v>
      </c>
      <c r="C566" s="1" t="n">
        <v>45850</v>
      </c>
      <c r="D566" t="inlineStr">
        <is>
          <t>ÖSTERGÖTLANDS LÄN</t>
        </is>
      </c>
      <c r="E566" t="inlineStr">
        <is>
          <t>MOTALA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58331-2022</t>
        </is>
      </c>
      <c r="B567" s="1" t="n">
        <v>44901</v>
      </c>
      <c r="C567" s="1" t="n">
        <v>45850</v>
      </c>
      <c r="D567" t="inlineStr">
        <is>
          <t>ÖSTERGÖTLANDS LÄN</t>
        </is>
      </c>
      <c r="E567" t="inlineStr">
        <is>
          <t>MOTALA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58997-2022</t>
        </is>
      </c>
      <c r="B568" s="1" t="n">
        <v>44903</v>
      </c>
      <c r="C568" s="1" t="n">
        <v>45850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59570-2022</t>
        </is>
      </c>
      <c r="B569" s="1" t="n">
        <v>44907</v>
      </c>
      <c r="C569" s="1" t="n">
        <v>45850</v>
      </c>
      <c r="D569" t="inlineStr">
        <is>
          <t>ÖSTERGÖTLANDS LÄN</t>
        </is>
      </c>
      <c r="E569" t="inlineStr">
        <is>
          <t>MOTALA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60603-2022</t>
        </is>
      </c>
      <c r="B570" s="1" t="n">
        <v>44911</v>
      </c>
      <c r="C570" s="1" t="n">
        <v>45850</v>
      </c>
      <c r="D570" t="inlineStr">
        <is>
          <t>ÖSTERGÖTLANDS LÄN</t>
        </is>
      </c>
      <c r="E570" t="inlineStr">
        <is>
          <t>MOTALA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60610-2022</t>
        </is>
      </c>
      <c r="B571" s="1" t="n">
        <v>44911</v>
      </c>
      <c r="C571" s="1" t="n">
        <v>45850</v>
      </c>
      <c r="D571" t="inlineStr">
        <is>
          <t>ÖSTERGÖTLANDS LÄN</t>
        </is>
      </c>
      <c r="E571" t="inlineStr">
        <is>
          <t>MOTALA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61002-2022</t>
        </is>
      </c>
      <c r="B572" s="1" t="n">
        <v>44914</v>
      </c>
      <c r="C572" s="1" t="n">
        <v>45850</v>
      </c>
      <c r="D572" t="inlineStr">
        <is>
          <t>ÖSTERGÖTLANDS LÄN</t>
        </is>
      </c>
      <c r="E572" t="inlineStr">
        <is>
          <t>MOTALA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637-2023</t>
        </is>
      </c>
      <c r="B573" s="1" t="n">
        <v>44930</v>
      </c>
      <c r="C573" s="1" t="n">
        <v>45850</v>
      </c>
      <c r="D573" t="inlineStr">
        <is>
          <t>ÖSTERGÖTLANDS LÄN</t>
        </is>
      </c>
      <c r="E573" t="inlineStr">
        <is>
          <t>MOTALA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735-2023</t>
        </is>
      </c>
      <c r="B574" s="1" t="n">
        <v>44931</v>
      </c>
      <c r="C574" s="1" t="n">
        <v>45850</v>
      </c>
      <c r="D574" t="inlineStr">
        <is>
          <t>ÖSTERGÖTLANDS LÄN</t>
        </is>
      </c>
      <c r="E574" t="inlineStr">
        <is>
          <t>MOTALA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1301-2023</t>
        </is>
      </c>
      <c r="B575" s="1" t="n">
        <v>44931</v>
      </c>
      <c r="C575" s="1" t="n">
        <v>45850</v>
      </c>
      <c r="D575" t="inlineStr">
        <is>
          <t>ÖSTERGÖTLANDS LÄN</t>
        </is>
      </c>
      <c r="E575" t="inlineStr">
        <is>
          <t>MOTALA</t>
        </is>
      </c>
      <c r="F575" t="inlineStr">
        <is>
          <t>Övriga statliga verk och myndigheter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1038-2023</t>
        </is>
      </c>
      <c r="B576" s="1" t="n">
        <v>44935</v>
      </c>
      <c r="C576" s="1" t="n">
        <v>45850</v>
      </c>
      <c r="D576" t="inlineStr">
        <is>
          <t>ÖSTERGÖTLANDS LÄN</t>
        </is>
      </c>
      <c r="E576" t="inlineStr">
        <is>
          <t>MOTALA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1094-2023</t>
        </is>
      </c>
      <c r="B577" s="1" t="n">
        <v>44935</v>
      </c>
      <c r="C577" s="1" t="n">
        <v>45850</v>
      </c>
      <c r="D577" t="inlineStr">
        <is>
          <t>ÖSTERGÖTLANDS LÄN</t>
        </is>
      </c>
      <c r="E577" t="inlineStr">
        <is>
          <t>MOTALA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1102-2023</t>
        </is>
      </c>
      <c r="B578" s="1" t="n">
        <v>44935</v>
      </c>
      <c r="C578" s="1" t="n">
        <v>45850</v>
      </c>
      <c r="D578" t="inlineStr">
        <is>
          <t>ÖSTERGÖTLANDS LÄN</t>
        </is>
      </c>
      <c r="E578" t="inlineStr">
        <is>
          <t>MOTALA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1099-2023</t>
        </is>
      </c>
      <c r="B579" s="1" t="n">
        <v>44935</v>
      </c>
      <c r="C579" s="1" t="n">
        <v>45850</v>
      </c>
      <c r="D579" t="inlineStr">
        <is>
          <t>ÖSTERGÖTLANDS LÄN</t>
        </is>
      </c>
      <c r="E579" t="inlineStr">
        <is>
          <t>MOTALA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1092-2023</t>
        </is>
      </c>
      <c r="B580" s="1" t="n">
        <v>44935</v>
      </c>
      <c r="C580" s="1" t="n">
        <v>45850</v>
      </c>
      <c r="D580" t="inlineStr">
        <is>
          <t>ÖSTERGÖTLANDS LÄN</t>
        </is>
      </c>
      <c r="E580" t="inlineStr">
        <is>
          <t>MOTALA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1118-2023</t>
        </is>
      </c>
      <c r="B581" s="1" t="n">
        <v>44935</v>
      </c>
      <c r="C581" s="1" t="n">
        <v>45850</v>
      </c>
      <c r="D581" t="inlineStr">
        <is>
          <t>ÖSTERGÖTLANDS LÄN</t>
        </is>
      </c>
      <c r="E581" t="inlineStr">
        <is>
          <t>MOTALA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1474-2023</t>
        </is>
      </c>
      <c r="B582" s="1" t="n">
        <v>44937</v>
      </c>
      <c r="C582" s="1" t="n">
        <v>45850</v>
      </c>
      <c r="D582" t="inlineStr">
        <is>
          <t>ÖSTERGÖTLANDS LÄN</t>
        </is>
      </c>
      <c r="E582" t="inlineStr">
        <is>
          <t>MOTALA</t>
        </is>
      </c>
      <c r="F582" t="inlineStr">
        <is>
          <t>Kommuner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2194-2023</t>
        </is>
      </c>
      <c r="B583" s="1" t="n">
        <v>44942</v>
      </c>
      <c r="C583" s="1" t="n">
        <v>45850</v>
      </c>
      <c r="D583" t="inlineStr">
        <is>
          <t>ÖSTERGÖTLANDS LÄN</t>
        </is>
      </c>
      <c r="E583" t="inlineStr">
        <is>
          <t>MOTALA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2205-2023</t>
        </is>
      </c>
      <c r="B584" s="1" t="n">
        <v>44942</v>
      </c>
      <c r="C584" s="1" t="n">
        <v>45850</v>
      </c>
      <c r="D584" t="inlineStr">
        <is>
          <t>ÖSTERGÖTLANDS LÄN</t>
        </is>
      </c>
      <c r="E584" t="inlineStr">
        <is>
          <t>MOTALA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2196-2023</t>
        </is>
      </c>
      <c r="B585" s="1" t="n">
        <v>44942</v>
      </c>
      <c r="C585" s="1" t="n">
        <v>45850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2201-2023</t>
        </is>
      </c>
      <c r="B586" s="1" t="n">
        <v>44942</v>
      </c>
      <c r="C586" s="1" t="n">
        <v>45850</v>
      </c>
      <c r="D586" t="inlineStr">
        <is>
          <t>ÖSTERGÖTLANDS LÄN</t>
        </is>
      </c>
      <c r="E586" t="inlineStr">
        <is>
          <t>MOTALA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2197-2023</t>
        </is>
      </c>
      <c r="B587" s="1" t="n">
        <v>44942</v>
      </c>
      <c r="C587" s="1" t="n">
        <v>45850</v>
      </c>
      <c r="D587" t="inlineStr">
        <is>
          <t>ÖSTERGÖTLANDS LÄN</t>
        </is>
      </c>
      <c r="E587" t="inlineStr">
        <is>
          <t>MOTALA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3345-2023</t>
        </is>
      </c>
      <c r="B588" s="1" t="n">
        <v>44949</v>
      </c>
      <c r="C588" s="1" t="n">
        <v>45850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3711-2023</t>
        </is>
      </c>
      <c r="B589" s="1" t="n">
        <v>44951</v>
      </c>
      <c r="C589" s="1" t="n">
        <v>45850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3748-2023</t>
        </is>
      </c>
      <c r="B590" s="1" t="n">
        <v>44951</v>
      </c>
      <c r="C590" s="1" t="n">
        <v>45850</v>
      </c>
      <c r="D590" t="inlineStr">
        <is>
          <t>ÖSTERGÖTLANDS LÄN</t>
        </is>
      </c>
      <c r="E590" t="inlineStr">
        <is>
          <t>MOTALA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3993-2023</t>
        </is>
      </c>
      <c r="B591" s="1" t="n">
        <v>44952</v>
      </c>
      <c r="C591" s="1" t="n">
        <v>45850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4255-2023</t>
        </is>
      </c>
      <c r="B592" s="1" t="n">
        <v>44953</v>
      </c>
      <c r="C592" s="1" t="n">
        <v>45850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4254-2023</t>
        </is>
      </c>
      <c r="B593" s="1" t="n">
        <v>44953</v>
      </c>
      <c r="C593" s="1" t="n">
        <v>45850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4728-2023</t>
        </is>
      </c>
      <c r="B594" s="1" t="n">
        <v>44957</v>
      </c>
      <c r="C594" s="1" t="n">
        <v>45850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5073-2023</t>
        </is>
      </c>
      <c r="B595" s="1" t="n">
        <v>44958</v>
      </c>
      <c r="C595" s="1" t="n">
        <v>45850</v>
      </c>
      <c r="D595" t="inlineStr">
        <is>
          <t>ÖSTERGÖTLANDS LÄN</t>
        </is>
      </c>
      <c r="E595" t="inlineStr">
        <is>
          <t>MOTALA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6990-2023</t>
        </is>
      </c>
      <c r="B596" s="1" t="n">
        <v>44967</v>
      </c>
      <c r="C596" s="1" t="n">
        <v>45850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6996-2023</t>
        </is>
      </c>
      <c r="B597" s="1" t="n">
        <v>44967</v>
      </c>
      <c r="C597" s="1" t="n">
        <v>45850</v>
      </c>
      <c r="D597" t="inlineStr">
        <is>
          <t>ÖSTERGÖTLANDS LÄN</t>
        </is>
      </c>
      <c r="E597" t="inlineStr">
        <is>
          <t>MOTALA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6989-2023</t>
        </is>
      </c>
      <c r="B598" s="1" t="n">
        <v>44967</v>
      </c>
      <c r="C598" s="1" t="n">
        <v>45850</v>
      </c>
      <c r="D598" t="inlineStr">
        <is>
          <t>ÖSTERGÖTLANDS LÄN</t>
        </is>
      </c>
      <c r="E598" t="inlineStr">
        <is>
          <t>MOTALA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6941-2023</t>
        </is>
      </c>
      <c r="B599" s="1" t="n">
        <v>44967</v>
      </c>
      <c r="C599" s="1" t="n">
        <v>45850</v>
      </c>
      <c r="D599" t="inlineStr">
        <is>
          <t>ÖSTERGÖTLANDS LÄN</t>
        </is>
      </c>
      <c r="E599" t="inlineStr">
        <is>
          <t>MOTALA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6991-2023</t>
        </is>
      </c>
      <c r="B600" s="1" t="n">
        <v>44967</v>
      </c>
      <c r="C600" s="1" t="n">
        <v>45850</v>
      </c>
      <c r="D600" t="inlineStr">
        <is>
          <t>ÖSTERGÖTLANDS LÄN</t>
        </is>
      </c>
      <c r="E600" t="inlineStr">
        <is>
          <t>MOTALA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6992-2023</t>
        </is>
      </c>
      <c r="B601" s="1" t="n">
        <v>44967</v>
      </c>
      <c r="C601" s="1" t="n">
        <v>45850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7345-2023</t>
        </is>
      </c>
      <c r="B602" s="1" t="n">
        <v>44971</v>
      </c>
      <c r="C602" s="1" t="n">
        <v>45850</v>
      </c>
      <c r="D602" t="inlineStr">
        <is>
          <t>ÖSTERGÖTLANDS LÄN</t>
        </is>
      </c>
      <c r="E602" t="inlineStr">
        <is>
          <t>MOTALA</t>
        </is>
      </c>
      <c r="F602" t="inlineStr">
        <is>
          <t>Kyrkan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7937-2023</t>
        </is>
      </c>
      <c r="B603" s="1" t="n">
        <v>44973</v>
      </c>
      <c r="C603" s="1" t="n">
        <v>45850</v>
      </c>
      <c r="D603" t="inlineStr">
        <is>
          <t>ÖSTERGÖTLANDS LÄN</t>
        </is>
      </c>
      <c r="E603" t="inlineStr">
        <is>
          <t>MOTALA</t>
        </is>
      </c>
      <c r="F603" t="inlineStr">
        <is>
          <t>Allmännings- och besparingsskogar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8402-2023</t>
        </is>
      </c>
      <c r="B604" s="1" t="n">
        <v>44977</v>
      </c>
      <c r="C604" s="1" t="n">
        <v>45850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9248-2023</t>
        </is>
      </c>
      <c r="B605" s="1" t="n">
        <v>44980</v>
      </c>
      <c r="C605" s="1" t="n">
        <v>45850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9431-2023</t>
        </is>
      </c>
      <c r="B606" s="1" t="n">
        <v>44981</v>
      </c>
      <c r="C606" s="1" t="n">
        <v>45850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10443-2023</t>
        </is>
      </c>
      <c r="B607" s="1" t="n">
        <v>44981</v>
      </c>
      <c r="C607" s="1" t="n">
        <v>45850</v>
      </c>
      <c r="D607" t="inlineStr">
        <is>
          <t>ÖSTERGÖTLANDS LÄN</t>
        </is>
      </c>
      <c r="E607" t="inlineStr">
        <is>
          <t>MOTALA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9620-2023</t>
        </is>
      </c>
      <c r="B608" s="1" t="n">
        <v>44984</v>
      </c>
      <c r="C608" s="1" t="n">
        <v>45850</v>
      </c>
      <c r="D608" t="inlineStr">
        <is>
          <t>ÖSTERGÖTLANDS LÄN</t>
        </is>
      </c>
      <c r="E608" t="inlineStr">
        <is>
          <t>MOTALA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9626-2023</t>
        </is>
      </c>
      <c r="B609" s="1" t="n">
        <v>44984</v>
      </c>
      <c r="C609" s="1" t="n">
        <v>45850</v>
      </c>
      <c r="D609" t="inlineStr">
        <is>
          <t>ÖSTERGÖTLANDS LÄN</t>
        </is>
      </c>
      <c r="E609" t="inlineStr">
        <is>
          <t>MOTALA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9622-2023</t>
        </is>
      </c>
      <c r="B610" s="1" t="n">
        <v>44984</v>
      </c>
      <c r="C610" s="1" t="n">
        <v>45850</v>
      </c>
      <c r="D610" t="inlineStr">
        <is>
          <t>ÖSTERGÖTLANDS LÄN</t>
        </is>
      </c>
      <c r="E610" t="inlineStr">
        <is>
          <t>MOTALA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10324-2023</t>
        </is>
      </c>
      <c r="B611" s="1" t="n">
        <v>44987</v>
      </c>
      <c r="C611" s="1" t="n">
        <v>45850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11168-2023</t>
        </is>
      </c>
      <c r="B612" s="1" t="n">
        <v>44992</v>
      </c>
      <c r="C612" s="1" t="n">
        <v>45850</v>
      </c>
      <c r="D612" t="inlineStr">
        <is>
          <t>ÖSTERGÖTLANDS LÄN</t>
        </is>
      </c>
      <c r="E612" t="inlineStr">
        <is>
          <t>MOTALA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11758-2023</t>
        </is>
      </c>
      <c r="B613" s="1" t="n">
        <v>44994</v>
      </c>
      <c r="C613" s="1" t="n">
        <v>45850</v>
      </c>
      <c r="D613" t="inlineStr">
        <is>
          <t>ÖSTERGÖTLANDS LÄN</t>
        </is>
      </c>
      <c r="E613" t="inlineStr">
        <is>
          <t>MOTALA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12090-2023</t>
        </is>
      </c>
      <c r="B614" s="1" t="n">
        <v>44998</v>
      </c>
      <c r="C614" s="1" t="n">
        <v>45850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12088-2023</t>
        </is>
      </c>
      <c r="B615" s="1" t="n">
        <v>44998</v>
      </c>
      <c r="C615" s="1" t="n">
        <v>45850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12091-2023</t>
        </is>
      </c>
      <c r="B616" s="1" t="n">
        <v>44998</v>
      </c>
      <c r="C616" s="1" t="n">
        <v>45850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12383-2023</t>
        </is>
      </c>
      <c r="B617" s="1" t="n">
        <v>44999</v>
      </c>
      <c r="C617" s="1" t="n">
        <v>45850</v>
      </c>
      <c r="D617" t="inlineStr">
        <is>
          <t>ÖSTERGÖTLANDS LÄN</t>
        </is>
      </c>
      <c r="E617" t="inlineStr">
        <is>
          <t>MOTALA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12387-2023</t>
        </is>
      </c>
      <c r="B618" s="1" t="n">
        <v>44999</v>
      </c>
      <c r="C618" s="1" t="n">
        <v>45850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12434-2023</t>
        </is>
      </c>
      <c r="B619" s="1" t="n">
        <v>44999</v>
      </c>
      <c r="C619" s="1" t="n">
        <v>45850</v>
      </c>
      <c r="D619" t="inlineStr">
        <is>
          <t>ÖSTERGÖTLANDS LÄN</t>
        </is>
      </c>
      <c r="E619" t="inlineStr">
        <is>
          <t>MOTALA</t>
        </is>
      </c>
      <c r="F619" t="inlineStr">
        <is>
          <t>Allmännings- och besparingsskogar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12905-2023</t>
        </is>
      </c>
      <c r="B620" s="1" t="n">
        <v>45001</v>
      </c>
      <c r="C620" s="1" t="n">
        <v>45850</v>
      </c>
      <c r="D620" t="inlineStr">
        <is>
          <t>ÖSTERGÖTLANDS LÄN</t>
        </is>
      </c>
      <c r="E620" t="inlineStr">
        <is>
          <t>MOTALA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12914-2023</t>
        </is>
      </c>
      <c r="B621" s="1" t="n">
        <v>45001</v>
      </c>
      <c r="C621" s="1" t="n">
        <v>45850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12919-2023</t>
        </is>
      </c>
      <c r="B622" s="1" t="n">
        <v>45001</v>
      </c>
      <c r="C622" s="1" t="n">
        <v>45850</v>
      </c>
      <c r="D622" t="inlineStr">
        <is>
          <t>ÖSTERGÖTLANDS LÄN</t>
        </is>
      </c>
      <c r="E622" t="inlineStr">
        <is>
          <t>MOTALA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12916-2023</t>
        </is>
      </c>
      <c r="B623" s="1" t="n">
        <v>45001</v>
      </c>
      <c r="C623" s="1" t="n">
        <v>45850</v>
      </c>
      <c r="D623" t="inlineStr">
        <is>
          <t>ÖSTERGÖTLANDS LÄN</t>
        </is>
      </c>
      <c r="E623" t="inlineStr">
        <is>
          <t>MOTALA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13525-2023</t>
        </is>
      </c>
      <c r="B624" s="1" t="n">
        <v>45006</v>
      </c>
      <c r="C624" s="1" t="n">
        <v>45850</v>
      </c>
      <c r="D624" t="inlineStr">
        <is>
          <t>ÖSTERGÖTLANDS LÄN</t>
        </is>
      </c>
      <c r="E624" t="inlineStr">
        <is>
          <t>MOTALA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13535-2023</t>
        </is>
      </c>
      <c r="B625" s="1" t="n">
        <v>45006</v>
      </c>
      <c r="C625" s="1" t="n">
        <v>45850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14984-2023</t>
        </is>
      </c>
      <c r="B626" s="1" t="n">
        <v>45015</v>
      </c>
      <c r="C626" s="1" t="n">
        <v>45850</v>
      </c>
      <c r="D626" t="inlineStr">
        <is>
          <t>ÖSTERGÖTLANDS LÄN</t>
        </is>
      </c>
      <c r="E626" t="inlineStr">
        <is>
          <t>MOTALA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15007-2023</t>
        </is>
      </c>
      <c r="B627" s="1" t="n">
        <v>45015</v>
      </c>
      <c r="C627" s="1" t="n">
        <v>45850</v>
      </c>
      <c r="D627" t="inlineStr">
        <is>
          <t>ÖSTERGÖTLANDS LÄN</t>
        </is>
      </c>
      <c r="E627" t="inlineStr">
        <is>
          <t>MOTALA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15448-2023</t>
        </is>
      </c>
      <c r="B628" s="1" t="n">
        <v>45020</v>
      </c>
      <c r="C628" s="1" t="n">
        <v>45850</v>
      </c>
      <c r="D628" t="inlineStr">
        <is>
          <t>ÖSTERGÖTLANDS LÄN</t>
        </is>
      </c>
      <c r="E628" t="inlineStr">
        <is>
          <t>MOTALA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16452-2023</t>
        </is>
      </c>
      <c r="B629" s="1" t="n">
        <v>45029</v>
      </c>
      <c r="C629" s="1" t="n">
        <v>45850</v>
      </c>
      <c r="D629" t="inlineStr">
        <is>
          <t>ÖSTERGÖTLANDS LÄN</t>
        </is>
      </c>
      <c r="E629" t="inlineStr">
        <is>
          <t>MOTALA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16586-2023</t>
        </is>
      </c>
      <c r="B630" s="1" t="n">
        <v>45030</v>
      </c>
      <c r="C630" s="1" t="n">
        <v>45850</v>
      </c>
      <c r="D630" t="inlineStr">
        <is>
          <t>ÖSTERGÖTLANDS LÄN</t>
        </is>
      </c>
      <c r="E630" t="inlineStr">
        <is>
          <t>MOTALA</t>
        </is>
      </c>
      <c r="F630" t="inlineStr">
        <is>
          <t>Kyrkan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17148-2023</t>
        </is>
      </c>
      <c r="B631" s="1" t="n">
        <v>45034</v>
      </c>
      <c r="C631" s="1" t="n">
        <v>45850</v>
      </c>
      <c r="D631" t="inlineStr">
        <is>
          <t>ÖSTERGÖTLANDS LÄN</t>
        </is>
      </c>
      <c r="E631" t="inlineStr">
        <is>
          <t>MOTALA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17142-2023</t>
        </is>
      </c>
      <c r="B632" s="1" t="n">
        <v>45034</v>
      </c>
      <c r="C632" s="1" t="n">
        <v>45850</v>
      </c>
      <c r="D632" t="inlineStr">
        <is>
          <t>ÖSTERGÖTLANDS LÄN</t>
        </is>
      </c>
      <c r="E632" t="inlineStr">
        <is>
          <t>MOTALA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17151-2023</t>
        </is>
      </c>
      <c r="B633" s="1" t="n">
        <v>45034</v>
      </c>
      <c r="C633" s="1" t="n">
        <v>45850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18672-2023</t>
        </is>
      </c>
      <c r="B634" s="1" t="n">
        <v>45041</v>
      </c>
      <c r="C634" s="1" t="n">
        <v>45850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18591-2023</t>
        </is>
      </c>
      <c r="B635" s="1" t="n">
        <v>45043</v>
      </c>
      <c r="C635" s="1" t="n">
        <v>45850</v>
      </c>
      <c r="D635" t="inlineStr">
        <is>
          <t>ÖSTERGÖTLANDS LÄN</t>
        </is>
      </c>
      <c r="E635" t="inlineStr">
        <is>
          <t>MOTALA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18915-2023</t>
        </is>
      </c>
      <c r="B636" s="1" t="n">
        <v>45043</v>
      </c>
      <c r="C636" s="1" t="n">
        <v>45850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18923-2023</t>
        </is>
      </c>
      <c r="B637" s="1" t="n">
        <v>45043</v>
      </c>
      <c r="C637" s="1" t="n">
        <v>45850</v>
      </c>
      <c r="D637" t="inlineStr">
        <is>
          <t>ÖSTERGÖTLANDS LÄN</t>
        </is>
      </c>
      <c r="E637" t="inlineStr">
        <is>
          <t>MOTALA</t>
        </is>
      </c>
      <c r="F637" t="inlineStr">
        <is>
          <t>Övriga statliga verk och myndigheter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19031-2023</t>
        </is>
      </c>
      <c r="B638" s="1" t="n">
        <v>45047</v>
      </c>
      <c r="C638" s="1" t="n">
        <v>45850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27.2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19217-2023</t>
        </is>
      </c>
      <c r="B639" s="1" t="n">
        <v>45048</v>
      </c>
      <c r="C639" s="1" t="n">
        <v>45850</v>
      </c>
      <c r="D639" t="inlineStr">
        <is>
          <t>ÖSTERGÖTLANDS LÄN</t>
        </is>
      </c>
      <c r="E639" t="inlineStr">
        <is>
          <t>MOTALA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19987-2023</t>
        </is>
      </c>
      <c r="B640" s="1" t="n">
        <v>45054</v>
      </c>
      <c r="C640" s="1" t="n">
        <v>45850</v>
      </c>
      <c r="D640" t="inlineStr">
        <is>
          <t>ÖSTERGÖTLANDS LÄN</t>
        </is>
      </c>
      <c r="E640" t="inlineStr">
        <is>
          <t>MOTALA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21527-2023</t>
        </is>
      </c>
      <c r="B641" s="1" t="n">
        <v>45061</v>
      </c>
      <c r="C641" s="1" t="n">
        <v>45850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21541-2023</t>
        </is>
      </c>
      <c r="B642" s="1" t="n">
        <v>45063</v>
      </c>
      <c r="C642" s="1" t="n">
        <v>45850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21549-2023</t>
        </is>
      </c>
      <c r="B643" s="1" t="n">
        <v>45063</v>
      </c>
      <c r="C643" s="1" t="n">
        <v>45850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21544-2023</t>
        </is>
      </c>
      <c r="B644" s="1" t="n">
        <v>45063</v>
      </c>
      <c r="C644" s="1" t="n">
        <v>45850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21838-2023</t>
        </is>
      </c>
      <c r="B645" s="1" t="n">
        <v>45068</v>
      </c>
      <c r="C645" s="1" t="n">
        <v>45850</v>
      </c>
      <c r="D645" t="inlineStr">
        <is>
          <t>ÖSTERGÖTLANDS LÄN</t>
        </is>
      </c>
      <c r="E645" t="inlineStr">
        <is>
          <t>MOTALA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21991-2023</t>
        </is>
      </c>
      <c r="B646" s="1" t="n">
        <v>45068</v>
      </c>
      <c r="C646" s="1" t="n">
        <v>45850</v>
      </c>
      <c r="D646" t="inlineStr">
        <is>
          <t>ÖSTERGÖTLANDS LÄN</t>
        </is>
      </c>
      <c r="E646" t="inlineStr">
        <is>
          <t>MOTALA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22108-2023</t>
        </is>
      </c>
      <c r="B647" s="1" t="n">
        <v>45069</v>
      </c>
      <c r="C647" s="1" t="n">
        <v>45850</v>
      </c>
      <c r="D647" t="inlineStr">
        <is>
          <t>ÖSTERGÖTLANDS LÄN</t>
        </is>
      </c>
      <c r="E647" t="inlineStr">
        <is>
          <t>MOTALA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22113-2023</t>
        </is>
      </c>
      <c r="B648" s="1" t="n">
        <v>45069</v>
      </c>
      <c r="C648" s="1" t="n">
        <v>45850</v>
      </c>
      <c r="D648" t="inlineStr">
        <is>
          <t>ÖSTERGÖTLANDS LÄN</t>
        </is>
      </c>
      <c r="E648" t="inlineStr">
        <is>
          <t>MOTALA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22124-2023</t>
        </is>
      </c>
      <c r="B649" s="1" t="n">
        <v>45069</v>
      </c>
      <c r="C649" s="1" t="n">
        <v>45850</v>
      </c>
      <c r="D649" t="inlineStr">
        <is>
          <t>ÖSTERGÖTLANDS LÄN</t>
        </is>
      </c>
      <c r="E649" t="inlineStr">
        <is>
          <t>MOTALA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22119-2023</t>
        </is>
      </c>
      <c r="B650" s="1" t="n">
        <v>45069</v>
      </c>
      <c r="C650" s="1" t="n">
        <v>45850</v>
      </c>
      <c r="D650" t="inlineStr">
        <is>
          <t>ÖSTERGÖTLANDS LÄN</t>
        </is>
      </c>
      <c r="E650" t="inlineStr">
        <is>
          <t>MOTALA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24090-2023</t>
        </is>
      </c>
      <c r="B651" s="1" t="n">
        <v>45079</v>
      </c>
      <c r="C651" s="1" t="n">
        <v>45850</v>
      </c>
      <c r="D651" t="inlineStr">
        <is>
          <t>ÖSTERGÖTLANDS LÄN</t>
        </is>
      </c>
      <c r="E651" t="inlineStr">
        <is>
          <t>MOTALA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24124-2023</t>
        </is>
      </c>
      <c r="B652" s="1" t="n">
        <v>45079</v>
      </c>
      <c r="C652" s="1" t="n">
        <v>45850</v>
      </c>
      <c r="D652" t="inlineStr">
        <is>
          <t>ÖSTERGÖTLANDS LÄN</t>
        </is>
      </c>
      <c r="E652" t="inlineStr">
        <is>
          <t>MOTALA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24432-2023</t>
        </is>
      </c>
      <c r="B653" s="1" t="n">
        <v>45082</v>
      </c>
      <c r="C653" s="1" t="n">
        <v>45850</v>
      </c>
      <c r="D653" t="inlineStr">
        <is>
          <t>ÖSTERGÖTLANDS LÄN</t>
        </is>
      </c>
      <c r="E653" t="inlineStr">
        <is>
          <t>MOTALA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24436-2023</t>
        </is>
      </c>
      <c r="B654" s="1" t="n">
        <v>45082</v>
      </c>
      <c r="C654" s="1" t="n">
        <v>45850</v>
      </c>
      <c r="D654" t="inlineStr">
        <is>
          <t>ÖSTERGÖTLANDS LÄN</t>
        </is>
      </c>
      <c r="E654" t="inlineStr">
        <is>
          <t>MOTALA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24442-2023</t>
        </is>
      </c>
      <c r="B655" s="1" t="n">
        <v>45082</v>
      </c>
      <c r="C655" s="1" t="n">
        <v>45850</v>
      </c>
      <c r="D655" t="inlineStr">
        <is>
          <t>ÖSTERGÖTLANDS LÄN</t>
        </is>
      </c>
      <c r="E655" t="inlineStr">
        <is>
          <t>MOTALA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24752-2023</t>
        </is>
      </c>
      <c r="B656" s="1" t="n">
        <v>45084</v>
      </c>
      <c r="C656" s="1" t="n">
        <v>45850</v>
      </c>
      <c r="D656" t="inlineStr">
        <is>
          <t>ÖSTERGÖTLANDS LÄN</t>
        </is>
      </c>
      <c r="E656" t="inlineStr">
        <is>
          <t>MOTALA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26338-2023</t>
        </is>
      </c>
      <c r="B657" s="1" t="n">
        <v>45091</v>
      </c>
      <c r="C657" s="1" t="n">
        <v>45850</v>
      </c>
      <c r="D657" t="inlineStr">
        <is>
          <t>ÖSTERGÖTLANDS LÄN</t>
        </is>
      </c>
      <c r="E657" t="inlineStr">
        <is>
          <t>MOTALA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27250-2023</t>
        </is>
      </c>
      <c r="B658" s="1" t="n">
        <v>45092</v>
      </c>
      <c r="C658" s="1" t="n">
        <v>45850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27220-2023</t>
        </is>
      </c>
      <c r="B659" s="1" t="n">
        <v>45092</v>
      </c>
      <c r="C659" s="1" t="n">
        <v>45850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27233-2023</t>
        </is>
      </c>
      <c r="B660" s="1" t="n">
        <v>45092</v>
      </c>
      <c r="C660" s="1" t="n">
        <v>45850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27656-2023</t>
        </is>
      </c>
      <c r="B661" s="1" t="n">
        <v>45097</v>
      </c>
      <c r="C661" s="1" t="n">
        <v>45850</v>
      </c>
      <c r="D661" t="inlineStr">
        <is>
          <t>ÖSTERGÖTLANDS LÄN</t>
        </is>
      </c>
      <c r="E661" t="inlineStr">
        <is>
          <t>MOTALA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28187-2023</t>
        </is>
      </c>
      <c r="B662" s="1" t="n">
        <v>45099</v>
      </c>
      <c r="C662" s="1" t="n">
        <v>45850</v>
      </c>
      <c r="D662" t="inlineStr">
        <is>
          <t>ÖSTERGÖTLANDS LÄN</t>
        </is>
      </c>
      <c r="E662" t="inlineStr">
        <is>
          <t>MOTALA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28194-2023</t>
        </is>
      </c>
      <c r="B663" s="1" t="n">
        <v>45099</v>
      </c>
      <c r="C663" s="1" t="n">
        <v>45850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28202-2023</t>
        </is>
      </c>
      <c r="B664" s="1" t="n">
        <v>45099</v>
      </c>
      <c r="C664" s="1" t="n">
        <v>45850</v>
      </c>
      <c r="D664" t="inlineStr">
        <is>
          <t>ÖSTERGÖTLANDS LÄN</t>
        </is>
      </c>
      <c r="E664" t="inlineStr">
        <is>
          <t>MOTALA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28184-2023</t>
        </is>
      </c>
      <c r="B665" s="1" t="n">
        <v>45099</v>
      </c>
      <c r="C665" s="1" t="n">
        <v>45850</v>
      </c>
      <c r="D665" t="inlineStr">
        <is>
          <t>ÖSTERGÖTLANDS LÄN</t>
        </is>
      </c>
      <c r="E665" t="inlineStr">
        <is>
          <t>MOTALA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30955-2023</t>
        </is>
      </c>
      <c r="B666" s="1" t="n">
        <v>45103</v>
      </c>
      <c r="C666" s="1" t="n">
        <v>45850</v>
      </c>
      <c r="D666" t="inlineStr">
        <is>
          <t>ÖSTERGÖTLANDS LÄN</t>
        </is>
      </c>
      <c r="E666" t="inlineStr">
        <is>
          <t>MOTALA</t>
        </is>
      </c>
      <c r="F666" t="inlineStr">
        <is>
          <t>Övriga statliga verk och myndigheter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29453-2023</t>
        </is>
      </c>
      <c r="B667" s="1" t="n">
        <v>45106</v>
      </c>
      <c r="C667" s="1" t="n">
        <v>45850</v>
      </c>
      <c r="D667" t="inlineStr">
        <is>
          <t>ÖSTERGÖTLANDS LÄN</t>
        </is>
      </c>
      <c r="E667" t="inlineStr">
        <is>
          <t>MOTALA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30377-2023</t>
        </is>
      </c>
      <c r="B668" s="1" t="n">
        <v>45111</v>
      </c>
      <c r="C668" s="1" t="n">
        <v>45850</v>
      </c>
      <c r="D668" t="inlineStr">
        <is>
          <t>ÖSTERGÖTLANDS LÄN</t>
        </is>
      </c>
      <c r="E668" t="inlineStr">
        <is>
          <t>MOTALA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30603-2023</t>
        </is>
      </c>
      <c r="B669" s="1" t="n">
        <v>45112</v>
      </c>
      <c r="C669" s="1" t="n">
        <v>45850</v>
      </c>
      <c r="D669" t="inlineStr">
        <is>
          <t>ÖSTERGÖTLANDS LÄN</t>
        </is>
      </c>
      <c r="E669" t="inlineStr">
        <is>
          <t>MOTALA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30606-2023</t>
        </is>
      </c>
      <c r="B670" s="1" t="n">
        <v>45112</v>
      </c>
      <c r="C670" s="1" t="n">
        <v>45850</v>
      </c>
      <c r="D670" t="inlineStr">
        <is>
          <t>ÖSTERGÖTLANDS LÄN</t>
        </is>
      </c>
      <c r="E670" t="inlineStr">
        <is>
          <t>MOTALA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31441-2023</t>
        </is>
      </c>
      <c r="B671" s="1" t="n">
        <v>45114</v>
      </c>
      <c r="C671" s="1" t="n">
        <v>45850</v>
      </c>
      <c r="D671" t="inlineStr">
        <is>
          <t>ÖSTERGÖTLANDS LÄN</t>
        </is>
      </c>
      <c r="E671" t="inlineStr">
        <is>
          <t>MOTALA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31276-2023</t>
        </is>
      </c>
      <c r="B672" s="1" t="n">
        <v>45114</v>
      </c>
      <c r="C672" s="1" t="n">
        <v>45850</v>
      </c>
      <c r="D672" t="inlineStr">
        <is>
          <t>ÖSTERGÖTLANDS LÄN</t>
        </is>
      </c>
      <c r="E672" t="inlineStr">
        <is>
          <t>MOTALA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31430-2023</t>
        </is>
      </c>
      <c r="B673" s="1" t="n">
        <v>45114</v>
      </c>
      <c r="C673" s="1" t="n">
        <v>45850</v>
      </c>
      <c r="D673" t="inlineStr">
        <is>
          <t>ÖSTERGÖTLANDS LÄN</t>
        </is>
      </c>
      <c r="E673" t="inlineStr">
        <is>
          <t>MOTALA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32269-2023</t>
        </is>
      </c>
      <c r="B674" s="1" t="n">
        <v>45120</v>
      </c>
      <c r="C674" s="1" t="n">
        <v>45850</v>
      </c>
      <c r="D674" t="inlineStr">
        <is>
          <t>ÖSTERGÖTLANDS LÄN</t>
        </is>
      </c>
      <c r="E674" t="inlineStr">
        <is>
          <t>MOTALA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32275-2023</t>
        </is>
      </c>
      <c r="B675" s="1" t="n">
        <v>45120</v>
      </c>
      <c r="C675" s="1" t="n">
        <v>45850</v>
      </c>
      <c r="D675" t="inlineStr">
        <is>
          <t>ÖSTERGÖTLANDS LÄN</t>
        </is>
      </c>
      <c r="E675" t="inlineStr">
        <is>
          <t>MOTALA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33943-2023</t>
        </is>
      </c>
      <c r="B676" s="1" t="n">
        <v>45134</v>
      </c>
      <c r="C676" s="1" t="n">
        <v>45850</v>
      </c>
      <c r="D676" t="inlineStr">
        <is>
          <t>ÖSTERGÖTLANDS LÄN</t>
        </is>
      </c>
      <c r="E676" t="inlineStr">
        <is>
          <t>MOTALA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37129-2023</t>
        </is>
      </c>
      <c r="B677" s="1" t="n">
        <v>45155</v>
      </c>
      <c r="C677" s="1" t="n">
        <v>45850</v>
      </c>
      <c r="D677" t="inlineStr">
        <is>
          <t>ÖSTERGÖTLANDS LÄN</t>
        </is>
      </c>
      <c r="E677" t="inlineStr">
        <is>
          <t>MOTALA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37084-2023</t>
        </is>
      </c>
      <c r="B678" s="1" t="n">
        <v>45155</v>
      </c>
      <c r="C678" s="1" t="n">
        <v>45850</v>
      </c>
      <c r="D678" t="inlineStr">
        <is>
          <t>ÖSTERGÖTLANDS LÄN</t>
        </is>
      </c>
      <c r="E678" t="inlineStr">
        <is>
          <t>MOTALA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38881-2023</t>
        </is>
      </c>
      <c r="B679" s="1" t="n">
        <v>45161</v>
      </c>
      <c r="C679" s="1" t="n">
        <v>45850</v>
      </c>
      <c r="D679" t="inlineStr">
        <is>
          <t>ÖSTERGÖTLANDS LÄN</t>
        </is>
      </c>
      <c r="E679" t="inlineStr">
        <is>
          <t>MOTALA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38878-2023</t>
        </is>
      </c>
      <c r="B680" s="1" t="n">
        <v>45161</v>
      </c>
      <c r="C680" s="1" t="n">
        <v>45850</v>
      </c>
      <c r="D680" t="inlineStr">
        <is>
          <t>ÖSTERGÖTLANDS LÄN</t>
        </is>
      </c>
      <c r="E680" t="inlineStr">
        <is>
          <t>MOTALA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39342-2023</t>
        </is>
      </c>
      <c r="B681" s="1" t="n">
        <v>45166</v>
      </c>
      <c r="C681" s="1" t="n">
        <v>45850</v>
      </c>
      <c r="D681" t="inlineStr">
        <is>
          <t>ÖSTERGÖTLANDS LÄN</t>
        </is>
      </c>
      <c r="E681" t="inlineStr">
        <is>
          <t>MOTALA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39352-2023</t>
        </is>
      </c>
      <c r="B682" s="1" t="n">
        <v>45166</v>
      </c>
      <c r="C682" s="1" t="n">
        <v>45850</v>
      </c>
      <c r="D682" t="inlineStr">
        <is>
          <t>ÖSTERGÖTLANDS LÄN</t>
        </is>
      </c>
      <c r="E682" t="inlineStr">
        <is>
          <t>MOTALA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39351-2023</t>
        </is>
      </c>
      <c r="B683" s="1" t="n">
        <v>45166</v>
      </c>
      <c r="C683" s="1" t="n">
        <v>45850</v>
      </c>
      <c r="D683" t="inlineStr">
        <is>
          <t>ÖSTERGÖTLANDS LÄN</t>
        </is>
      </c>
      <c r="E683" t="inlineStr">
        <is>
          <t>MOTALA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41093-2023</t>
        </is>
      </c>
      <c r="B684" s="1" t="n">
        <v>45173</v>
      </c>
      <c r="C684" s="1" t="n">
        <v>45850</v>
      </c>
      <c r="D684" t="inlineStr">
        <is>
          <t>ÖSTERGÖTLANDS LÄN</t>
        </is>
      </c>
      <c r="E684" t="inlineStr">
        <is>
          <t>MOTALA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42298-2023</t>
        </is>
      </c>
      <c r="B685" s="1" t="n">
        <v>45180</v>
      </c>
      <c r="C685" s="1" t="n">
        <v>45850</v>
      </c>
      <c r="D685" t="inlineStr">
        <is>
          <t>ÖSTERGÖTLANDS LÄN</t>
        </is>
      </c>
      <c r="E685" t="inlineStr">
        <is>
          <t>MOTALA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42919-2023</t>
        </is>
      </c>
      <c r="B686" s="1" t="n">
        <v>45182</v>
      </c>
      <c r="C686" s="1" t="n">
        <v>45850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42928-2023</t>
        </is>
      </c>
      <c r="B687" s="1" t="n">
        <v>45182</v>
      </c>
      <c r="C687" s="1" t="n">
        <v>45850</v>
      </c>
      <c r="D687" t="inlineStr">
        <is>
          <t>ÖSTERGÖTLANDS LÄN</t>
        </is>
      </c>
      <c r="E687" t="inlineStr">
        <is>
          <t>MOTALA</t>
        </is>
      </c>
      <c r="F687" t="inlineStr">
        <is>
          <t>Kyrkan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43257-2023</t>
        </is>
      </c>
      <c r="B688" s="1" t="n">
        <v>45183</v>
      </c>
      <c r="C688" s="1" t="n">
        <v>45850</v>
      </c>
      <c r="D688" t="inlineStr">
        <is>
          <t>ÖSTERGÖTLANDS LÄN</t>
        </is>
      </c>
      <c r="E688" t="inlineStr">
        <is>
          <t>MOTALA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43369-2023</t>
        </is>
      </c>
      <c r="B689" s="1" t="n">
        <v>45183</v>
      </c>
      <c r="C689" s="1" t="n">
        <v>45850</v>
      </c>
      <c r="D689" t="inlineStr">
        <is>
          <t>ÖSTERGÖTLANDS LÄN</t>
        </is>
      </c>
      <c r="E689" t="inlineStr">
        <is>
          <t>MOTALA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43373-2023</t>
        </is>
      </c>
      <c r="B690" s="1" t="n">
        <v>45183</v>
      </c>
      <c r="C690" s="1" t="n">
        <v>45850</v>
      </c>
      <c r="D690" t="inlineStr">
        <is>
          <t>ÖSTERGÖTLANDS LÄN</t>
        </is>
      </c>
      <c r="E690" t="inlineStr">
        <is>
          <t>MOTALA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43368-2023</t>
        </is>
      </c>
      <c r="B691" s="1" t="n">
        <v>45183</v>
      </c>
      <c r="C691" s="1" t="n">
        <v>45850</v>
      </c>
      <c r="D691" t="inlineStr">
        <is>
          <t>ÖSTERGÖTLANDS LÄN</t>
        </is>
      </c>
      <c r="E691" t="inlineStr">
        <is>
          <t>MOTALA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43370-2023</t>
        </is>
      </c>
      <c r="B692" s="1" t="n">
        <v>45183</v>
      </c>
      <c r="C692" s="1" t="n">
        <v>45850</v>
      </c>
      <c r="D692" t="inlineStr">
        <is>
          <t>ÖSTERGÖTLANDS LÄN</t>
        </is>
      </c>
      <c r="E692" t="inlineStr">
        <is>
          <t>MOTALA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43996-2023</t>
        </is>
      </c>
      <c r="B693" s="1" t="n">
        <v>45188</v>
      </c>
      <c r="C693" s="1" t="n">
        <v>45850</v>
      </c>
      <c r="D693" t="inlineStr">
        <is>
          <t>ÖSTERGÖTLANDS LÄN</t>
        </is>
      </c>
      <c r="E693" t="inlineStr">
        <is>
          <t>MOTALA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43997-2023</t>
        </is>
      </c>
      <c r="B694" s="1" t="n">
        <v>45188</v>
      </c>
      <c r="C694" s="1" t="n">
        <v>45850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43995-2023</t>
        </is>
      </c>
      <c r="B695" s="1" t="n">
        <v>45188</v>
      </c>
      <c r="C695" s="1" t="n">
        <v>45850</v>
      </c>
      <c r="D695" t="inlineStr">
        <is>
          <t>ÖSTERGÖTLANDS LÄN</t>
        </is>
      </c>
      <c r="E695" t="inlineStr">
        <is>
          <t>MOTALA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44298-2023</t>
        </is>
      </c>
      <c r="B696" s="1" t="n">
        <v>45187</v>
      </c>
      <c r="C696" s="1" t="n">
        <v>45850</v>
      </c>
      <c r="D696" t="inlineStr">
        <is>
          <t>ÖSTERGÖTLANDS LÄN</t>
        </is>
      </c>
      <c r="E696" t="inlineStr">
        <is>
          <t>MOTALA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45099-2023</t>
        </is>
      </c>
      <c r="B697" s="1" t="n">
        <v>45187</v>
      </c>
      <c r="C697" s="1" t="n">
        <v>45850</v>
      </c>
      <c r="D697" t="inlineStr">
        <is>
          <t>ÖSTERGÖTLANDS LÄN</t>
        </is>
      </c>
      <c r="E697" t="inlineStr">
        <is>
          <t>MOTALA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46437-2023</t>
        </is>
      </c>
      <c r="B698" s="1" t="n">
        <v>45197</v>
      </c>
      <c r="C698" s="1" t="n">
        <v>45850</v>
      </c>
      <c r="D698" t="inlineStr">
        <is>
          <t>ÖSTERGÖTLANDS LÄN</t>
        </is>
      </c>
      <c r="E698" t="inlineStr">
        <is>
          <t>MOTALA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47215-2023</t>
        </is>
      </c>
      <c r="B699" s="1" t="n">
        <v>45202</v>
      </c>
      <c r="C699" s="1" t="n">
        <v>45850</v>
      </c>
      <c r="D699" t="inlineStr">
        <is>
          <t>ÖSTERGÖTLANDS LÄN</t>
        </is>
      </c>
      <c r="E699" t="inlineStr">
        <is>
          <t>MOTALA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47214-2023</t>
        </is>
      </c>
      <c r="B700" s="1" t="n">
        <v>45202</v>
      </c>
      <c r="C700" s="1" t="n">
        <v>45850</v>
      </c>
      <c r="D700" t="inlineStr">
        <is>
          <t>ÖSTERGÖTLANDS LÄN</t>
        </is>
      </c>
      <c r="E700" t="inlineStr">
        <is>
          <t>MOTALA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47218-2023</t>
        </is>
      </c>
      <c r="B701" s="1" t="n">
        <v>45202</v>
      </c>
      <c r="C701" s="1" t="n">
        <v>45850</v>
      </c>
      <c r="D701" t="inlineStr">
        <is>
          <t>ÖSTERGÖTLANDS LÄN</t>
        </is>
      </c>
      <c r="E701" t="inlineStr">
        <is>
          <t>MOTALA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47308-2023</t>
        </is>
      </c>
      <c r="B702" s="1" t="n">
        <v>45202</v>
      </c>
      <c r="C702" s="1" t="n">
        <v>45850</v>
      </c>
      <c r="D702" t="inlineStr">
        <is>
          <t>ÖSTERGÖTLANDS LÄN</t>
        </is>
      </c>
      <c r="E702" t="inlineStr">
        <is>
          <t>MOTALA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47999-2023</t>
        </is>
      </c>
      <c r="B703" s="1" t="n">
        <v>45204</v>
      </c>
      <c r="C703" s="1" t="n">
        <v>45850</v>
      </c>
      <c r="D703" t="inlineStr">
        <is>
          <t>ÖSTERGÖTLANDS LÄN</t>
        </is>
      </c>
      <c r="E703" t="inlineStr">
        <is>
          <t>MOTALA</t>
        </is>
      </c>
      <c r="F703" t="inlineStr">
        <is>
          <t>Allmännings- och besparingsskogar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49249-2023</t>
        </is>
      </c>
      <c r="B704" s="1" t="n">
        <v>45205</v>
      </c>
      <c r="C704" s="1" t="n">
        <v>45850</v>
      </c>
      <c r="D704" t="inlineStr">
        <is>
          <t>ÖSTERGÖTLANDS LÄN</t>
        </is>
      </c>
      <c r="E704" t="inlineStr">
        <is>
          <t>MOTALA</t>
        </is>
      </c>
      <c r="F704" t="inlineStr">
        <is>
          <t>Övriga statliga verk och myndigheter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49271-2023</t>
        </is>
      </c>
      <c r="B705" s="1" t="n">
        <v>45210</v>
      </c>
      <c r="C705" s="1" t="n">
        <v>45850</v>
      </c>
      <c r="D705" t="inlineStr">
        <is>
          <t>ÖSTERGÖTLANDS LÄN</t>
        </is>
      </c>
      <c r="E705" t="inlineStr">
        <is>
          <t>MOTALA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50137-2023</t>
        </is>
      </c>
      <c r="B706" s="1" t="n">
        <v>45215</v>
      </c>
      <c r="C706" s="1" t="n">
        <v>45850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50163-2023</t>
        </is>
      </c>
      <c r="B707" s="1" t="n">
        <v>45215</v>
      </c>
      <c r="C707" s="1" t="n">
        <v>45850</v>
      </c>
      <c r="D707" t="inlineStr">
        <is>
          <t>ÖSTERGÖTLANDS LÄN</t>
        </is>
      </c>
      <c r="E707" t="inlineStr">
        <is>
          <t>MOTALA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50126-2023</t>
        </is>
      </c>
      <c r="B708" s="1" t="n">
        <v>45215</v>
      </c>
      <c r="C708" s="1" t="n">
        <v>45850</v>
      </c>
      <c r="D708" t="inlineStr">
        <is>
          <t>ÖSTERGÖTLANDS LÄN</t>
        </is>
      </c>
      <c r="E708" t="inlineStr">
        <is>
          <t>MOTALA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45850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45850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45850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45850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45850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45850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45850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45850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45850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45850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45850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45850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45850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45850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45850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45850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45850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45850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45850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45850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45850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45850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45850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45850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45850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45850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45850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45850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45850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45850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45850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45850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45850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45850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45850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45850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45850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45850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45850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45850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45850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45850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45850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45850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45850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45850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45850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45850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45850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45850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45850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45850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45850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45850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45850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45850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45850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45850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45850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45850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45850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45850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45850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45850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45850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45850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45850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45850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45850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45850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45850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45850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45850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45850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45850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45850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45850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45850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45850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45850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45850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45850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45850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45850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45850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45850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45850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45850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45850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45850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45850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45850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45850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45850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45850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45850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45850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45850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45850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45850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45850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45850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45850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45850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45850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45850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45850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45850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45850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45850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45850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45850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45850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45850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45850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45850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45850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45850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45850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45850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45850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45850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45850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45850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45850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45850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45850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45850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45850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45850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45850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45850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45850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45850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45850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45850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45850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45850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45850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45850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45850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45850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45850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45850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45850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45850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45850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45850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45850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45850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45850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45850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45850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45850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45850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45850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45850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45850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45850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45850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45850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45850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45850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45850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45850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45850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45850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45850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45850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45850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45850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45850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45850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45850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45850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45850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45850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45850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45850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45850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45850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45850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45850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45850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45850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45850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45850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45850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45850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45850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45850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45850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45850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45850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45850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45850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45850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45850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45850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45850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45850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45850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45850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45850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45850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45850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45850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45850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45850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45850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45850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45850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45850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45850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45850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45850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45850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45850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45850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45850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45850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45850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45850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45850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45850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45850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45850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45850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45850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45850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45850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45850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45850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45850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45850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45850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45850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45850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45850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45850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45850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45850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45850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45850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45850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45850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45850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45850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45850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45850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45850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45850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45850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45850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45850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45850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45850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45850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45850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45850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45850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45850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45850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45850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45850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45850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45850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45850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45850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45850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45850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45850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45850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45850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45850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45850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45850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45850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45850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45850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45850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45850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45850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45850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45850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45850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45850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45850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45850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45850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45850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45850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45850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45850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45850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45850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45850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45850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45850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45850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45850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45850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45850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45850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45850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45850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45850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45850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45850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45850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45850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45850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45850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45850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45850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45850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45850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45850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45850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45850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45850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24482-2025</t>
        </is>
      </c>
      <c r="B1030" s="1" t="n">
        <v>45798</v>
      </c>
      <c r="C1030" s="1" t="n">
        <v>45850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24485-2025</t>
        </is>
      </c>
      <c r="B1031" s="1" t="n">
        <v>45798</v>
      </c>
      <c r="C1031" s="1" t="n">
        <v>45850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24547-2025</t>
        </is>
      </c>
      <c r="B1032" s="1" t="n">
        <v>45798</v>
      </c>
      <c r="C1032" s="1" t="n">
        <v>45850</v>
      </c>
      <c r="D1032" t="inlineStr">
        <is>
          <t>ÖSTERGÖTLANDS LÄN</t>
        </is>
      </c>
      <c r="E1032" t="inlineStr">
        <is>
          <t>MOTALA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24470-2025</t>
        </is>
      </c>
      <c r="B1033" s="1" t="n">
        <v>45798</v>
      </c>
      <c r="C1033" s="1" t="n">
        <v>45850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45850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24476-2025</t>
        </is>
      </c>
      <c r="B1035" s="1" t="n">
        <v>45798</v>
      </c>
      <c r="C1035" s="1" t="n">
        <v>45850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24484-2025</t>
        </is>
      </c>
      <c r="B1036" s="1" t="n">
        <v>45798</v>
      </c>
      <c r="C1036" s="1" t="n">
        <v>45850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24468-2025</t>
        </is>
      </c>
      <c r="B1037" s="1" t="n">
        <v>45798</v>
      </c>
      <c r="C1037" s="1" t="n">
        <v>45850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45850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45850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25599-2025</t>
        </is>
      </c>
      <c r="B1040" s="1" t="n">
        <v>45803</v>
      </c>
      <c r="C1040" s="1" t="n">
        <v>45850</v>
      </c>
      <c r="D1040" t="inlineStr">
        <is>
          <t>ÖSTERGÖTLANDS LÄN</t>
        </is>
      </c>
      <c r="E1040" t="inlineStr">
        <is>
          <t>MOTALA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25600-2025</t>
        </is>
      </c>
      <c r="B1041" s="1" t="n">
        <v>45803</v>
      </c>
      <c r="C1041" s="1" t="n">
        <v>45850</v>
      </c>
      <c r="D1041" t="inlineStr">
        <is>
          <t>ÖSTERGÖTLANDS LÄN</t>
        </is>
      </c>
      <c r="E1041" t="inlineStr">
        <is>
          <t>MOTALA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26216-2025</t>
        </is>
      </c>
      <c r="B1042" s="1" t="n">
        <v>45805</v>
      </c>
      <c r="C1042" s="1" t="n">
        <v>45850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26273-2025</t>
        </is>
      </c>
      <c r="B1043" s="1" t="n">
        <v>45805</v>
      </c>
      <c r="C1043" s="1" t="n">
        <v>45850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26350-2025</t>
        </is>
      </c>
      <c r="B1044" s="1" t="n">
        <v>45805</v>
      </c>
      <c r="C1044" s="1" t="n">
        <v>45850</v>
      </c>
      <c r="D1044" t="inlineStr">
        <is>
          <t>ÖSTERGÖTLANDS LÄN</t>
        </is>
      </c>
      <c r="E1044" t="inlineStr">
        <is>
          <t>MOTALA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26281-2025</t>
        </is>
      </c>
      <c r="B1045" s="1" t="n">
        <v>45805</v>
      </c>
      <c r="C1045" s="1" t="n">
        <v>45850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17.3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26280-2025</t>
        </is>
      </c>
      <c r="B1046" s="1" t="n">
        <v>45805</v>
      </c>
      <c r="C1046" s="1" t="n">
        <v>45850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26282-2025</t>
        </is>
      </c>
      <c r="B1047" s="1" t="n">
        <v>45805</v>
      </c>
      <c r="C1047" s="1" t="n">
        <v>45850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45850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27896-2025</t>
        </is>
      </c>
      <c r="B1049" s="1" t="n">
        <v>45817</v>
      </c>
      <c r="C1049" s="1" t="n">
        <v>45850</v>
      </c>
      <c r="D1049" t="inlineStr">
        <is>
          <t>ÖSTERGÖTLANDS LÄN</t>
        </is>
      </c>
      <c r="E1049" t="inlineStr">
        <is>
          <t>MOTALA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27895-2025</t>
        </is>
      </c>
      <c r="B1050" s="1" t="n">
        <v>45817</v>
      </c>
      <c r="C1050" s="1" t="n">
        <v>45850</v>
      </c>
      <c r="D1050" t="inlineStr">
        <is>
          <t>ÖSTERGÖTLANDS LÄN</t>
        </is>
      </c>
      <c r="E1050" t="inlineStr">
        <is>
          <t>MOTALA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45850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29314-2025</t>
        </is>
      </c>
      <c r="B1052" s="1" t="n">
        <v>45824</v>
      </c>
      <c r="C1052" s="1" t="n">
        <v>45850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29632-2025</t>
        </is>
      </c>
      <c r="B1053" s="1" t="n">
        <v>45825</v>
      </c>
      <c r="C1053" s="1" t="n">
        <v>45850</v>
      </c>
      <c r="D1053" t="inlineStr">
        <is>
          <t>ÖSTERGÖTLANDS LÄN</t>
        </is>
      </c>
      <c r="E1053" t="inlineStr">
        <is>
          <t>MOTALA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30357-2025</t>
        </is>
      </c>
      <c r="B1054" s="1" t="n">
        <v>45827</v>
      </c>
      <c r="C1054" s="1" t="n">
        <v>45850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Sveaskog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30358-2025</t>
        </is>
      </c>
      <c r="B1055" s="1" t="n">
        <v>45827</v>
      </c>
      <c r="C1055" s="1" t="n">
        <v>45850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30640-2025</t>
        </is>
      </c>
      <c r="B1056" s="1" t="n">
        <v>45831</v>
      </c>
      <c r="C1056" s="1" t="n">
        <v>45850</v>
      </c>
      <c r="D1056" t="inlineStr">
        <is>
          <t>ÖSTERGÖTLANDS LÄN</t>
        </is>
      </c>
      <c r="E1056" t="inlineStr">
        <is>
          <t>MOTALA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32756-2025</t>
        </is>
      </c>
      <c r="B1057" s="1" t="n">
        <v>45839</v>
      </c>
      <c r="C1057" s="1" t="n">
        <v>45850</v>
      </c>
      <c r="D1057" t="inlineStr">
        <is>
          <t>ÖSTERGÖTLANDS LÄN</t>
        </is>
      </c>
      <c r="E1057" t="inlineStr">
        <is>
          <t>MOTALA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32889-2025</t>
        </is>
      </c>
      <c r="B1058" s="1" t="n">
        <v>45839</v>
      </c>
      <c r="C1058" s="1" t="n">
        <v>45850</v>
      </c>
      <c r="D1058" t="inlineStr">
        <is>
          <t>ÖSTERGÖTLANDS LÄN</t>
        </is>
      </c>
      <c r="E1058" t="inlineStr">
        <is>
          <t>MOTALA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33665-2025</t>
        </is>
      </c>
      <c r="B1059" s="1" t="n">
        <v>45841</v>
      </c>
      <c r="C1059" s="1" t="n">
        <v>45850</v>
      </c>
      <c r="D1059" t="inlineStr">
        <is>
          <t>ÖSTERGÖTLANDS LÄN</t>
        </is>
      </c>
      <c r="E1059" t="inlineStr">
        <is>
          <t>MOTALA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33669-2025</t>
        </is>
      </c>
      <c r="B1060" s="1" t="n">
        <v>45841</v>
      </c>
      <c r="C1060" s="1" t="n">
        <v>45850</v>
      </c>
      <c r="D1060" t="inlineStr">
        <is>
          <t>ÖSTERGÖTLANDS LÄN</t>
        </is>
      </c>
      <c r="E1060" t="inlineStr">
        <is>
          <t>MOTALA</t>
        </is>
      </c>
      <c r="G1060" t="n">
        <v>10.5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>
      <c r="A1061" t="inlineStr">
        <is>
          <t>A 34041-2025</t>
        </is>
      </c>
      <c r="B1061" s="1" t="n">
        <v>45843</v>
      </c>
      <c r="C1061" s="1" t="n">
        <v>45850</v>
      </c>
      <c r="D1061" t="inlineStr">
        <is>
          <t>ÖSTERGÖTLANDS LÄN</t>
        </is>
      </c>
      <c r="E1061" t="inlineStr">
        <is>
          <t>MOTALA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2025-07-12T19:20:56Z</dcterms:created>
  <dcterms:modified xmlns:dcterms="http://purl.org/dc/terms/" xmlns:xsi="http://www.w3.org/2001/XMLSchema-instance" xsi:type="dcterms:W3CDTF">2025-07-12T19:20:57Z</dcterms:modified>
</cp:coreProperties>
</file>