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46218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46218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46218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46218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46218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46218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Dropptaggsvamp
Motaggsvamp
Talltita
Bronshjon
Flagellkvastmossa
Grovticka
Spillkråka</t>
        </is>
      </c>
      <c r="V7">
        <f>HYPERLINK("https://klasma.github.io/Logging_0583/artfynd/A 49715-2024 artfynd.xlsx", "A 49715-2024")</f>
        <v/>
      </c>
      <c r="W7">
        <f>HYPERLINK("https://klasma.github.io/Logging_0583/kartor/A 49715-2024 karta.png", "A 49715-2024")</f>
        <v/>
      </c>
      <c r="Y7">
        <f>HYPERLINK("https://klasma.github.io/Logging_0583/klagomål/A 49715-2024 FSC-klagomål.docx", "A 49715-2024")</f>
        <v/>
      </c>
      <c r="Z7">
        <f>HYPERLINK("https://klasma.github.io/Logging_0583/klagomålsmail/A 49715-2024 FSC-klagomål mail.docx", "A 49715-2024")</f>
        <v/>
      </c>
      <c r="AA7">
        <f>HYPERLINK("https://klasma.github.io/Logging_0583/tillsyn/A 49715-2024 tillsynsbegäran.docx", "A 49715-2024")</f>
        <v/>
      </c>
      <c r="AB7">
        <f>HYPERLINK("https://klasma.github.io/Logging_0583/tillsynsmail/A 49715-2024 tillsynsbegäran mail.docx", "A 49715-2024")</f>
        <v/>
      </c>
      <c r="AC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46218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s="2" t="inlineStr">
        <is>
          <t>Raggbock
Dropptaggsvamp
Talltita
Mindre märgborre
Thomsons trägnagare
Vågbandad barkbock
Spillkråka</t>
        </is>
      </c>
      <c r="V8">
        <f>HYPERLINK("https://klasma.github.io/Logging_0583/artfynd/A 40801-2025 artfynd.xlsx", "A 40801-2025")</f>
        <v/>
      </c>
      <c r="W8">
        <f>HYPERLINK("https://klasma.github.io/Logging_0583/kartor/A 40801-2025 karta.png", "A 40801-2025")</f>
        <v/>
      </c>
      <c r="Y8">
        <f>HYPERLINK("https://klasma.github.io/Logging_0583/klagomål/A 40801-2025 FSC-klagomål.docx", "A 40801-2025")</f>
        <v/>
      </c>
      <c r="Z8">
        <f>HYPERLINK("https://klasma.github.io/Logging_0583/klagomålsmail/A 40801-2025 FSC-klagomål mail.docx", "A 40801-2025")</f>
        <v/>
      </c>
      <c r="AA8">
        <f>HYPERLINK("https://klasma.github.io/Logging_0583/tillsyn/A 40801-2025 tillsynsbegäran.docx", "A 40801-2025")</f>
        <v/>
      </c>
      <c r="AB8">
        <f>HYPERLINK("https://klasma.github.io/Logging_0583/tillsynsmail/A 40801-2025 tillsynsbegäran mail.docx", "A 40801-2025")</f>
        <v/>
      </c>
      <c r="AC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46218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46218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46218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s="2" t="inlineStr">
        <is>
          <t>Skogsgås
Nattskärra
Tjäder
Gröngöling
Grönsiska
Sångsvan</t>
        </is>
      </c>
      <c r="V11">
        <f>HYPERLINK("https://klasma.github.io/Logging_0583/artfynd/A 28395-2022 artfynd.xlsx", "A 28395-2022")</f>
        <v/>
      </c>
      <c r="W11">
        <f>HYPERLINK("https://klasma.github.io/Logging_0583/kartor/A 28395-2022 karta.png", "A 28395-2022")</f>
        <v/>
      </c>
      <c r="Y11">
        <f>HYPERLINK("https://klasma.github.io/Logging_0583/klagomål/A 28395-2022 FSC-klagomål.docx", "A 28395-2022")</f>
        <v/>
      </c>
      <c r="Z11">
        <f>HYPERLINK("https://klasma.github.io/Logging_0583/klagomålsmail/A 28395-2022 FSC-klagomål mail.docx", "A 28395-2022")</f>
        <v/>
      </c>
      <c r="AA11">
        <f>HYPERLINK("https://klasma.github.io/Logging_0583/tillsyn/A 28395-2022 tillsynsbegäran.docx", "A 28395-2022")</f>
        <v/>
      </c>
      <c r="AB11">
        <f>HYPERLINK("https://klasma.github.io/Logging_0583/tillsynsmail/A 28395-2022 tillsynsbegäran mail.docx", "A 28395-2022")</f>
        <v/>
      </c>
      <c r="AC11">
        <f>HYPERLINK("https://klasma.github.io/Logging_0583/fåglar/A 28395-2022 prioriterade fågelarter.docx", "A 28395-2022")</f>
        <v/>
      </c>
    </row>
    <row r="12" ht="15" customHeight="1">
      <c r="A12" t="inlineStr">
        <is>
          <t>A 27273-2026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46218</v>
      </c>
      <c r="F12" t="inlineStr">
        <is>
          <t>ÖSTERGÖTLANDS LÄN</t>
        </is>
      </c>
      <c r="G12" t="inlineStr">
        <is>
          <t>MOTALA</t>
        </is>
      </c>
      <c r="H12" t="inlineStr">
        <is>
          <t>Holmen skog AB</t>
        </is>
      </c>
      <c r="I12" t="n">
        <v>1.1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s="2" t="inlineStr">
        <is>
          <t>Thomsons trägnagare
Vågbandad barkbock
Bergsslok
Ekbräken
Hultbräken
Spillkråka</t>
        </is>
      </c>
      <c r="V12">
        <f>HYPERLINK("https://klasma.github.io/Logging_0583/artfynd/A 27273-2026 artfynd.xlsx", "A 27273-2026")</f>
        <v/>
      </c>
      <c r="W12">
        <f>HYPERLINK("https://klasma.github.io/Logging_0583/kartor/A 27273-2026 karta.png", "A 27273-2026")</f>
        <v/>
      </c>
      <c r="Y12">
        <f>HYPERLINK("https://klasma.github.io/Logging_0583/klagomål/A 27273-2026 FSC-klagomål.docx", "A 27273-2026")</f>
        <v/>
      </c>
      <c r="Z12">
        <f>HYPERLINK("https://klasma.github.io/Logging_0583/klagomålsmail/A 27273-2026 FSC-klagomål mail.docx", "A 27273-2026")</f>
        <v/>
      </c>
      <c r="AA12">
        <f>HYPERLINK("https://klasma.github.io/Logging_0583/tillsyn/A 27273-2026 tillsynsbegäran.docx", "A 27273-2026")</f>
        <v/>
      </c>
      <c r="AB12">
        <f>HYPERLINK("https://klasma.github.io/Logging_0583/tillsynsmail/A 27273-2026 tillsynsbegäran mail.docx", "A 27273-2026")</f>
        <v/>
      </c>
      <c r="AC12">
        <f>HYPERLINK("https://klasma.github.io/Logging_0583/fåglar/A 27273-2026 prioriterade fågelarter.docx", "A 27273-2026")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46218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s="2" t="inlineStr">
        <is>
          <t>Dropptaggsvamp
Gropticka
Tallticka
Bronshjon
Mindre märgborre
Spillkråka</t>
        </is>
      </c>
      <c r="V13">
        <f>HYPERLINK("https://klasma.github.io/Logging_0583/artfynd/A 63217-2025 artfynd.xlsx", "A 63217-2025")</f>
        <v/>
      </c>
      <c r="W13">
        <f>HYPERLINK("https://klasma.github.io/Logging_0583/kartor/A 63217-2025 karta.png", "A 63217-2025")</f>
        <v/>
      </c>
      <c r="Y13">
        <f>HYPERLINK("https://klasma.github.io/Logging_0583/klagomål/A 63217-2025 FSC-klagomål.docx", "A 63217-2025")</f>
        <v/>
      </c>
      <c r="Z13">
        <f>HYPERLINK("https://klasma.github.io/Logging_0583/klagomålsmail/A 63217-2025 FSC-klagomål mail.docx", "A 63217-2025")</f>
        <v/>
      </c>
      <c r="AA13">
        <f>HYPERLINK("https://klasma.github.io/Logging_0583/tillsyn/A 63217-2025 tillsynsbegäran.docx", "A 63217-2025")</f>
        <v/>
      </c>
      <c r="AB13">
        <f>HYPERLINK("https://klasma.github.io/Logging_0583/tillsynsmail/A 63217-2025 tillsynsbegäran mail.docx", "A 63217-2025")</f>
        <v/>
      </c>
      <c r="AC13">
        <f>HYPERLINK("https://klasma.github.io/Logging_0583/fåglar/A 63217-2025 prioriterade fågelarter.docx", "A 63217-2025")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46218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s="2" t="inlineStr">
        <is>
          <t>Grönfink
Talltita
Björksplintborre
Vågbandad barkbock
Tofsmes
Revlummer</t>
        </is>
      </c>
      <c r="V14">
        <f>HYPERLINK("https://klasma.github.io/Logging_0583/artfynd/A 27925-2026 artfynd.xlsx", "A 27925-2026")</f>
        <v/>
      </c>
      <c r="W14">
        <f>HYPERLINK("https://klasma.github.io/Logging_0583/kartor/A 27925-2026 karta.png", "A 27925-2026")</f>
        <v/>
      </c>
      <c r="Y14">
        <f>HYPERLINK("https://klasma.github.io/Logging_0583/klagomål/A 27925-2026 FSC-klagomål.docx", "A 27925-2026")</f>
        <v/>
      </c>
      <c r="Z14">
        <f>HYPERLINK("https://klasma.github.io/Logging_0583/klagomålsmail/A 27925-2026 FSC-klagomål mail.docx", "A 27925-2026")</f>
        <v/>
      </c>
      <c r="AA14">
        <f>HYPERLINK("https://klasma.github.io/Logging_0583/tillsyn/A 27925-2026 tillsynsbegäran.docx", "A 27925-2026")</f>
        <v/>
      </c>
      <c r="AB14">
        <f>HYPERLINK("https://klasma.github.io/Logging_0583/tillsynsmail/A 27925-2026 tillsynsbegäran mail.docx", "A 27925-2026")</f>
        <v/>
      </c>
      <c r="AC14">
        <f>HYPERLINK("https://klasma.github.io/Logging_0583/fåglar/A 27925-2026 prioriterade fågelarter.docx", "A 27925-2026")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46218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s="2" t="inlineStr">
        <is>
          <t>Knärot
Gullpudra
Björksplintborre
Thomsons trägnagare
Vågbandad barkbock
Blåsippa</t>
        </is>
      </c>
      <c r="V15">
        <f>HYPERLINK("https://klasma.github.io/Logging_0583/artfynd/A 17738-2026 artfynd.xlsx", "A 17738-2026")</f>
        <v/>
      </c>
      <c r="W15">
        <f>HYPERLINK("https://klasma.github.io/Logging_0583/kartor/A 17738-2026 karta.png", "A 17738-2026")</f>
        <v/>
      </c>
      <c r="X15">
        <f>HYPERLINK("https://klasma.github.io/Logging_0583/knärot/A 17738-2026 karta knärot.png", "A 17738-2026")</f>
        <v/>
      </c>
      <c r="Y15">
        <f>HYPERLINK("https://klasma.github.io/Logging_0583/klagomål/A 17738-2026 FSC-klagomål.docx", "A 17738-2026")</f>
        <v/>
      </c>
      <c r="Z15">
        <f>HYPERLINK("https://klasma.github.io/Logging_0583/klagomålsmail/A 17738-2026 FSC-klagomål mail.docx", "A 17738-2026")</f>
        <v/>
      </c>
      <c r="AA15">
        <f>HYPERLINK("https://klasma.github.io/Logging_0583/tillsyn/A 17738-2026 tillsynsbegäran.docx", "A 17738-2026")</f>
        <v/>
      </c>
      <c r="AB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46218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46218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46218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46218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46218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Grovticka
Tjäder
Nattviol</t>
        </is>
      </c>
      <c r="V20">
        <f>HYPERLINK("https://klasma.github.io/Logging_0583/artfynd/A 1931-2025 artfynd.xlsx", "A 1931-2025")</f>
        <v/>
      </c>
      <c r="W20">
        <f>HYPERLINK("https://klasma.github.io/Logging_0583/kartor/A 1931-2025 karta.png", "A 1931-2025")</f>
        <v/>
      </c>
      <c r="Y20">
        <f>HYPERLINK("https://klasma.github.io/Logging_0583/klagomål/A 1931-2025 FSC-klagomål.docx", "A 1931-2025")</f>
        <v/>
      </c>
      <c r="Z20">
        <f>HYPERLINK("https://klasma.github.io/Logging_0583/klagomålsmail/A 1931-2025 FSC-klagomål mail.docx", "A 1931-2025")</f>
        <v/>
      </c>
      <c r="AA20">
        <f>HYPERLINK("https://klasma.github.io/Logging_0583/tillsyn/A 1931-2025 tillsynsbegäran.docx", "A 1931-2025")</f>
        <v/>
      </c>
      <c r="AB20">
        <f>HYPERLINK("https://klasma.github.io/Logging_0583/tillsynsmail/A 1931-2025 tillsynsbegäran mail.docx", "A 1931-2025")</f>
        <v/>
      </c>
      <c r="AC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46218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Tallticka
Mindre märgborre
Revlummer</t>
        </is>
      </c>
      <c r="V21">
        <f>HYPERLINK("https://klasma.github.io/Logging_0583/artfynd/A 49690-2024 artfynd.xlsx", "A 49690-2024")</f>
        <v/>
      </c>
      <c r="W21">
        <f>HYPERLINK("https://klasma.github.io/Logging_0583/kartor/A 49690-2024 karta.png", "A 49690-2024")</f>
        <v/>
      </c>
      <c r="Y21">
        <f>HYPERLINK("https://klasma.github.io/Logging_0583/klagomål/A 49690-2024 FSC-klagomål.docx", "A 49690-2024")</f>
        <v/>
      </c>
      <c r="Z21">
        <f>HYPERLINK("https://klasma.github.io/Logging_0583/klagomålsmail/A 49690-2024 FSC-klagomål mail.docx", "A 49690-2024")</f>
        <v/>
      </c>
      <c r="AA21">
        <f>HYPERLINK("https://klasma.github.io/Logging_0583/tillsyn/A 49690-2024 tillsynsbegäran.docx", "A 49690-2024")</f>
        <v/>
      </c>
      <c r="AB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46218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Tallticka
Björksplintborre
Spillkråka</t>
        </is>
      </c>
      <c r="V22">
        <f>HYPERLINK("https://klasma.github.io/Logging_0583/artfynd/A 11145-2026 artfynd.xlsx", "A 11145-2026")</f>
        <v/>
      </c>
      <c r="W22">
        <f>HYPERLINK("https://klasma.github.io/Logging_0583/kartor/A 11145-2026 karta.png", "A 11145-2026")</f>
        <v/>
      </c>
      <c r="Y22">
        <f>HYPERLINK("https://klasma.github.io/Logging_0583/klagomål/A 11145-2026 FSC-klagomål.docx", "A 11145-2026")</f>
        <v/>
      </c>
      <c r="Z22">
        <f>HYPERLINK("https://klasma.github.io/Logging_0583/klagomålsmail/A 11145-2026 FSC-klagomål mail.docx", "A 11145-2026")</f>
        <v/>
      </c>
      <c r="AA22">
        <f>HYPERLINK("https://klasma.github.io/Logging_0583/tillsyn/A 11145-2026 tillsynsbegäran.docx", "A 11145-2026")</f>
        <v/>
      </c>
      <c r="AB22">
        <f>HYPERLINK("https://klasma.github.io/Logging_0583/tillsynsmail/A 11145-2026 tillsynsbegäran mail.docx", "A 11145-2026")</f>
        <v/>
      </c>
      <c r="AC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46218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46218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46218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s="2" t="inlineStr">
        <is>
          <t>Ask
Skogsalm</t>
        </is>
      </c>
      <c r="V25">
        <f>HYPERLINK("https://klasma.github.io/Logging_0583/artfynd/A 18894-2023 artfynd.xlsx", "A 18894-2023")</f>
        <v/>
      </c>
      <c r="W25">
        <f>HYPERLINK("https://klasma.github.io/Logging_0583/kartor/A 18894-2023 karta.png", "A 18894-2023")</f>
        <v/>
      </c>
      <c r="Y25">
        <f>HYPERLINK("https://klasma.github.io/Logging_0583/klagomål/A 18894-2023 FSC-klagomål.docx", "A 18894-2023")</f>
        <v/>
      </c>
      <c r="Z25">
        <f>HYPERLINK("https://klasma.github.io/Logging_0583/klagomålsmail/A 18894-2023 FSC-klagomål mail.docx", "A 18894-2023")</f>
        <v/>
      </c>
      <c r="AA25">
        <f>HYPERLINK("https://klasma.github.io/Logging_0583/tillsyn/A 18894-2023 tillsynsbegäran.docx", "A 18894-2023")</f>
        <v/>
      </c>
      <c r="AB25">
        <f>HYPERLINK("https://klasma.github.io/Logging_0583/tillsynsmail/A 18894-2023 tillsynsbegäran mail.docx", "A 18894-2023")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46218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Stallört
Kärrknipprot</t>
        </is>
      </c>
      <c r="V26">
        <f>HYPERLINK("https://klasma.github.io/Logging_0583/artfynd/A 53201-2025 artfynd.xlsx", "A 53201-2025")</f>
        <v/>
      </c>
      <c r="W26">
        <f>HYPERLINK("https://klasma.github.io/Logging_0583/kartor/A 53201-2025 karta.png", "A 53201-2025")</f>
        <v/>
      </c>
      <c r="Y26">
        <f>HYPERLINK("https://klasma.github.io/Logging_0583/klagomål/A 53201-2025 FSC-klagomål.docx", "A 53201-2025")</f>
        <v/>
      </c>
      <c r="Z26">
        <f>HYPERLINK("https://klasma.github.io/Logging_0583/klagomålsmail/A 53201-2025 FSC-klagomål mail.docx", "A 53201-2025")</f>
        <v/>
      </c>
      <c r="AA26">
        <f>HYPERLINK("https://klasma.github.io/Logging_0583/tillsyn/A 53201-2025 tillsynsbegäran.docx", "A 53201-2025")</f>
        <v/>
      </c>
      <c r="AB26">
        <f>HYPERLINK("https://klasma.github.io/Logging_0583/tillsynsmail/A 53201-2025 tillsynsbegäran mail.docx", "A 53201-2025")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46218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Vätteros
Nattviol</t>
        </is>
      </c>
      <c r="V27">
        <f>HYPERLINK("https://klasma.github.io/Logging_0583/artfynd/A 48392-2024 artfynd.xlsx", "A 48392-2024")</f>
        <v/>
      </c>
      <c r="W27">
        <f>HYPERLINK("https://klasma.github.io/Logging_0583/kartor/A 48392-2024 karta.png", "A 48392-2024")</f>
        <v/>
      </c>
      <c r="Y27">
        <f>HYPERLINK("https://klasma.github.io/Logging_0583/klagomål/A 48392-2024 FSC-klagomål.docx", "A 48392-2024")</f>
        <v/>
      </c>
      <c r="Z27">
        <f>HYPERLINK("https://klasma.github.io/Logging_0583/klagomålsmail/A 48392-2024 FSC-klagomål mail.docx", "A 48392-2024")</f>
        <v/>
      </c>
      <c r="AA27">
        <f>HYPERLINK("https://klasma.github.io/Logging_0583/tillsyn/A 48392-2024 tillsynsbegäran.docx", "A 48392-2024")</f>
        <v/>
      </c>
      <c r="AB27">
        <f>HYPERLINK("https://klasma.github.io/Logging_0583/tillsynsmail/A 48392-2024 tillsynsbegäran mail.docx", "A 48392-2024")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46218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Bergsslok
Storrams</t>
        </is>
      </c>
      <c r="V28">
        <f>HYPERLINK("https://klasma.github.io/Logging_0583/artfynd/A 20820-2026 artfynd.xlsx", "A 20820-2026")</f>
        <v/>
      </c>
      <c r="W28">
        <f>HYPERLINK("https://klasma.github.io/Logging_0583/kartor/A 20820-2026 karta.png", "A 20820-2026")</f>
        <v/>
      </c>
      <c r="Y28">
        <f>HYPERLINK("https://klasma.github.io/Logging_0583/klagomål/A 20820-2026 FSC-klagomål.docx", "A 20820-2026")</f>
        <v/>
      </c>
      <c r="Z28">
        <f>HYPERLINK("https://klasma.github.io/Logging_0583/klagomålsmail/A 20820-2026 FSC-klagomål mail.docx", "A 20820-2026")</f>
        <v/>
      </c>
      <c r="AA28">
        <f>HYPERLINK("https://klasma.github.io/Logging_0583/tillsyn/A 20820-2026 tillsynsbegäran.docx", "A 20820-2026")</f>
        <v/>
      </c>
      <c r="AB28">
        <f>HYPERLINK("https://klasma.github.io/Logging_0583/tillsynsmail/A 20820-2026 tillsynsbegäran mail.docx", "A 20820-2026")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46218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Tibast
Blåsippa</t>
        </is>
      </c>
      <c r="V29">
        <f>HYPERLINK("https://klasma.github.io/Logging_0583/artfynd/A 27887-2026 artfynd.xlsx", "A 27887-2026")</f>
        <v/>
      </c>
      <c r="W29">
        <f>HYPERLINK("https://klasma.github.io/Logging_0583/kartor/A 27887-2026 karta.png", "A 27887-2026")</f>
        <v/>
      </c>
      <c r="Y29">
        <f>HYPERLINK("https://klasma.github.io/Logging_0583/klagomål/A 27887-2026 FSC-klagomål.docx", "A 27887-2026")</f>
        <v/>
      </c>
      <c r="Z29">
        <f>HYPERLINK("https://klasma.github.io/Logging_0583/klagomålsmail/A 27887-2026 FSC-klagomål mail.docx", "A 27887-2026")</f>
        <v/>
      </c>
      <c r="AA29">
        <f>HYPERLINK("https://klasma.github.io/Logging_0583/tillsyn/A 27887-2026 tillsynsbegäran.docx", "A 27887-2026")</f>
        <v/>
      </c>
      <c r="AB29">
        <f>HYPERLINK("https://klasma.github.io/Logging_0583/tillsynsmail/A 27887-2026 tillsynsbegäran mail.docx", "A 27887-2026")</f>
        <v/>
      </c>
    </row>
    <row r="30" ht="15" customHeight="1">
      <c r="A30" t="inlineStr">
        <is>
          <t>A 2153-2026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46218</v>
      </c>
      <c r="F30" t="inlineStr">
        <is>
          <t>ÖSTERGÖTLANDS LÄN</t>
        </is>
      </c>
      <c r="G30" t="inlineStr">
        <is>
          <t>MOTALA</t>
        </is>
      </c>
      <c r="I30" t="n">
        <v>2.8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Blomkålssvamp
Mattlummer</t>
        </is>
      </c>
      <c r="V30">
        <f>HYPERLINK("https://klasma.github.io/Logging_0583/artfynd/A 2153-2026 artfynd.xlsx", "A 2153-2026")</f>
        <v/>
      </c>
      <c r="W30">
        <f>HYPERLINK("https://klasma.github.io/Logging_0583/kartor/A 2153-2026 karta.png", "A 2153-2026")</f>
        <v/>
      </c>
      <c r="Y30">
        <f>HYPERLINK("https://klasma.github.io/Logging_0583/klagomål/A 2153-2026 FSC-klagomål.docx", "A 2153-2026")</f>
        <v/>
      </c>
      <c r="Z30">
        <f>HYPERLINK("https://klasma.github.io/Logging_0583/klagomålsmail/A 2153-2026 FSC-klagomål mail.docx", "A 2153-2026")</f>
        <v/>
      </c>
      <c r="AA30">
        <f>HYPERLINK("https://klasma.github.io/Logging_0583/tillsyn/A 2153-2026 tillsynsbegäran.docx", "A 2153-2026")</f>
        <v/>
      </c>
      <c r="AB30">
        <f>HYPERLINK("https://klasma.github.io/Logging_0583/tillsynsmail/A 2153-2026 tillsynsbegäran mail.docx", "A 2153-2026")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46218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Blomkålssvamp
Revlummer</t>
        </is>
      </c>
      <c r="V31">
        <f>HYPERLINK("https://klasma.github.io/Logging_0583/artfynd/A 44938-2025 artfynd.xlsx", "A 44938-2025")</f>
        <v/>
      </c>
      <c r="W31">
        <f>HYPERLINK("https://klasma.github.io/Logging_0583/kartor/A 44938-2025 karta.png", "A 44938-2025")</f>
        <v/>
      </c>
      <c r="Y31">
        <f>HYPERLINK("https://klasma.github.io/Logging_0583/klagomål/A 44938-2025 FSC-klagomål.docx", "A 44938-2025")</f>
        <v/>
      </c>
      <c r="Z31">
        <f>HYPERLINK("https://klasma.github.io/Logging_0583/klagomålsmail/A 44938-2025 FSC-klagomål mail.docx", "A 44938-2025")</f>
        <v/>
      </c>
      <c r="AA31">
        <f>HYPERLINK("https://klasma.github.io/Logging_0583/tillsyn/A 44938-2025 tillsynsbegäran.docx", "A 44938-2025")</f>
        <v/>
      </c>
      <c r="AB31">
        <f>HYPERLINK("https://klasma.github.io/Logging_0583/tillsynsmail/A 44938-2025 tillsynsbegäran mail.docx", "A 44938-2025")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46218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46218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46218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46218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46218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46218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Skogsalm</t>
        </is>
      </c>
      <c r="V37">
        <f>HYPERLINK("https://klasma.github.io/Logging_0583/artfynd/A 47332-2025 artfynd.xlsx", "A 47332-2025")</f>
        <v/>
      </c>
      <c r="W37">
        <f>HYPERLINK("https://klasma.github.io/Logging_0583/kartor/A 47332-2025 karta.png", "A 47332-2025")</f>
        <v/>
      </c>
      <c r="Y37">
        <f>HYPERLINK("https://klasma.github.io/Logging_0583/klagomål/A 47332-2025 FSC-klagomål.docx", "A 47332-2025")</f>
        <v/>
      </c>
      <c r="Z37">
        <f>HYPERLINK("https://klasma.github.io/Logging_0583/klagomålsmail/A 47332-2025 FSC-klagomål mail.docx", "A 47332-2025")</f>
        <v/>
      </c>
      <c r="AA37">
        <f>HYPERLINK("https://klasma.github.io/Logging_0583/tillsyn/A 47332-2025 tillsynsbegäran.docx", "A 47332-2025")</f>
        <v/>
      </c>
      <c r="AB37">
        <f>HYPERLINK("https://klasma.github.io/Logging_0583/tillsynsmail/A 47332-2025 tillsynsbegäran mail.docx", "A 47332-2025")</f>
        <v/>
      </c>
    </row>
    <row r="38" ht="15" customHeight="1">
      <c r="A38" t="inlineStr">
        <is>
          <t>A 30955-2023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46218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Tjäder</t>
        </is>
      </c>
      <c r="V38">
        <f>HYPERLINK("https://klasma.github.io/Logging_0583/artfynd/A 30955-2023 artfynd.xlsx", "A 30955-2023")</f>
        <v/>
      </c>
      <c r="W38">
        <f>HYPERLINK("https://klasma.github.io/Logging_0583/kartor/A 30955-2023 karta.png", "A 30955-2023")</f>
        <v/>
      </c>
      <c r="Y38">
        <f>HYPERLINK("https://klasma.github.io/Logging_0583/klagomål/A 30955-2023 FSC-klagomål.docx", "A 30955-2023")</f>
        <v/>
      </c>
      <c r="Z38">
        <f>HYPERLINK("https://klasma.github.io/Logging_0583/klagomålsmail/A 30955-2023 FSC-klagomål mail.docx", "A 30955-2023")</f>
        <v/>
      </c>
      <c r="AA38">
        <f>HYPERLINK("https://klasma.github.io/Logging_0583/tillsyn/A 30955-2023 tillsynsbegäran.docx", "A 30955-2023")</f>
        <v/>
      </c>
      <c r="AB38">
        <f>HYPERLINK("https://klasma.github.io/Logging_0583/tillsynsmail/A 30955-2023 tillsynsbegäran mail.docx", "A 30955-2023")</f>
        <v/>
      </c>
      <c r="AC38">
        <f>HYPERLINK("https://klasma.github.io/Logging_0583/fåglar/A 30955-2023 prioriterade fågelarter.docx", "A 30955-2023")</f>
        <v/>
      </c>
    </row>
    <row r="39" ht="15" customHeight="1">
      <c r="A39" t="inlineStr">
        <is>
          <t>A 12609-2025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46218</v>
      </c>
      <c r="F39" t="inlineStr">
        <is>
          <t>ÖSTERGÖTLANDS LÄN</t>
        </is>
      </c>
      <c r="G39" t="inlineStr">
        <is>
          <t>MOTALA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Stubbspretmossa</t>
        </is>
      </c>
      <c r="V39">
        <f>HYPERLINK("https://klasma.github.io/Logging_0583/artfynd/A 12609-2025 artfynd.xlsx", "A 12609-2025")</f>
        <v/>
      </c>
      <c r="W39">
        <f>HYPERLINK("https://klasma.github.io/Logging_0583/kartor/A 12609-2025 karta.png", "A 12609-2025")</f>
        <v/>
      </c>
      <c r="Y39">
        <f>HYPERLINK("https://klasma.github.io/Logging_0583/klagomål/A 12609-2025 FSC-klagomål.docx", "A 12609-2025")</f>
        <v/>
      </c>
      <c r="Z39">
        <f>HYPERLINK("https://klasma.github.io/Logging_0583/klagomålsmail/A 12609-2025 FSC-klagomål mail.docx", "A 12609-2025")</f>
        <v/>
      </c>
      <c r="AA39">
        <f>HYPERLINK("https://klasma.github.io/Logging_0583/tillsyn/A 12609-2025 tillsynsbegäran.docx", "A 12609-2025")</f>
        <v/>
      </c>
      <c r="AB39">
        <f>HYPERLINK("https://klasma.github.io/Logging_0583/tillsynsmail/A 12609-2025 tillsynsbegäran mail.docx", "A 12609-2025")</f>
        <v/>
      </c>
    </row>
    <row r="40" ht="15" customHeight="1">
      <c r="A40" t="inlineStr">
        <is>
          <t>A 50749-2024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46218</v>
      </c>
      <c r="F40" t="inlineStr">
        <is>
          <t>ÖSTERGÖTLANDS LÄN</t>
        </is>
      </c>
      <c r="G40" t="inlineStr">
        <is>
          <t>MOTALA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HYPERLINK("https://klasma.github.io/Logging_0583/artfynd/A 50749-2024 artfynd.xlsx", "A 50749-2024")</f>
        <v/>
      </c>
      <c r="W40">
        <f>HYPERLINK("https://klasma.github.io/Logging_0583/kartor/A 50749-2024 karta.png", "A 50749-2024")</f>
        <v/>
      </c>
      <c r="Y40">
        <f>HYPERLINK("https://klasma.github.io/Logging_0583/klagomål/A 50749-2024 FSC-klagomål.docx", "A 50749-2024")</f>
        <v/>
      </c>
      <c r="Z40">
        <f>HYPERLINK("https://klasma.github.io/Logging_0583/klagomålsmail/A 50749-2024 FSC-klagomål mail.docx", "A 50749-2024")</f>
        <v/>
      </c>
      <c r="AA40">
        <f>HYPERLINK("https://klasma.github.io/Logging_0583/tillsyn/A 50749-2024 tillsynsbegäran.docx", "A 50749-2024")</f>
        <v/>
      </c>
      <c r="AB40">
        <f>HYPERLINK("https://klasma.github.io/Logging_0583/tillsynsmail/A 50749-2024 tillsynsbegäran mail.docx", "A 50749-2024")</f>
        <v/>
      </c>
    </row>
    <row r="41" ht="15" customHeight="1">
      <c r="A41" t="inlineStr">
        <is>
          <t>A 24686-2024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45460</v>
      </c>
      <c r="E41" s="1" t="n">
        <v>46218</v>
      </c>
      <c r="F41" t="inlineStr">
        <is>
          <t>ÖSTERGÖTLANDS LÄN</t>
        </is>
      </c>
      <c r="G41" t="inlineStr">
        <is>
          <t>MOTALA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Skogsklocka</t>
        </is>
      </c>
      <c r="V41">
        <f>HYPERLINK("https://klasma.github.io/Logging_0583/artfynd/A 24686-2024 artfynd.xlsx", "A 24686-2024")</f>
        <v/>
      </c>
      <c r="W41">
        <f>HYPERLINK("https://klasma.github.io/Logging_0583/kartor/A 24686-2024 karta.png", "A 24686-2024")</f>
        <v/>
      </c>
      <c r="Y41">
        <f>HYPERLINK("https://klasma.github.io/Logging_0583/klagomål/A 24686-2024 FSC-klagomål.docx", "A 24686-2024")</f>
        <v/>
      </c>
      <c r="Z41">
        <f>HYPERLINK("https://klasma.github.io/Logging_0583/klagomålsmail/A 24686-2024 FSC-klagomål mail.docx", "A 24686-2024")</f>
        <v/>
      </c>
      <c r="AA41">
        <f>HYPERLINK("https://klasma.github.io/Logging_0583/tillsyn/A 24686-2024 tillsynsbegäran.docx", "A 24686-2024")</f>
        <v/>
      </c>
      <c r="AB41">
        <f>HYPERLINK("https://klasma.github.io/Logging_0583/tillsynsmail/A 24686-2024 tillsynsbegäran mail.docx", "A 24686-2024")</f>
        <v/>
      </c>
    </row>
    <row r="42" ht="15" customHeight="1">
      <c r="A42" t="inlineStr">
        <is>
          <t>A 13690-2024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46218</v>
      </c>
      <c r="F42" t="inlineStr">
        <is>
          <t>ÖSTERGÖTLANDS LÄN</t>
        </is>
      </c>
      <c r="G42" t="inlineStr">
        <is>
          <t>MOTALA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Tibast</t>
        </is>
      </c>
      <c r="V42">
        <f>HYPERLINK("https://klasma.github.io/Logging_0583/artfynd/A 13690-2024 artfynd.xlsx", "A 13690-2024")</f>
        <v/>
      </c>
      <c r="W42">
        <f>HYPERLINK("https://klasma.github.io/Logging_0583/kartor/A 13690-2024 karta.png", "A 13690-2024")</f>
        <v/>
      </c>
      <c r="Y42">
        <f>HYPERLINK("https://klasma.github.io/Logging_0583/klagomål/A 13690-2024 FSC-klagomål.docx", "A 13690-2024")</f>
        <v/>
      </c>
      <c r="Z42">
        <f>HYPERLINK("https://klasma.github.io/Logging_0583/klagomålsmail/A 13690-2024 FSC-klagomål mail.docx", "A 13690-2024")</f>
        <v/>
      </c>
      <c r="AA42">
        <f>HYPERLINK("https://klasma.github.io/Logging_0583/tillsyn/A 13690-2024 tillsynsbegäran.docx", "A 13690-2024")</f>
        <v/>
      </c>
      <c r="AB42">
        <f>HYPERLINK("https://klasma.github.io/Logging_0583/tillsynsmail/A 13690-2024 tillsynsbegäran mail.docx", "A 13690-2024")</f>
        <v/>
      </c>
    </row>
    <row r="43" ht="15" customHeight="1">
      <c r="A43" t="inlineStr">
        <is>
          <t>A 21991-2023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46218</v>
      </c>
      <c r="F43" t="inlineStr">
        <is>
          <t>ÖSTERGÖTLANDS LÄN</t>
        </is>
      </c>
      <c r="G43" t="inlineStr">
        <is>
          <t>MOTALA</t>
        </is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Vedtrappmossa</t>
        </is>
      </c>
      <c r="V43">
        <f>HYPERLINK("https://klasma.github.io/Logging_0583/artfynd/A 21991-2023 artfynd.xlsx", "A 21991-2023")</f>
        <v/>
      </c>
      <c r="W43">
        <f>HYPERLINK("https://klasma.github.io/Logging_0583/kartor/A 21991-2023 karta.png", "A 21991-2023")</f>
        <v/>
      </c>
      <c r="Y43">
        <f>HYPERLINK("https://klasma.github.io/Logging_0583/klagomål/A 21991-2023 FSC-klagomål.docx", "A 21991-2023")</f>
        <v/>
      </c>
      <c r="Z43">
        <f>HYPERLINK("https://klasma.github.io/Logging_0583/klagomålsmail/A 21991-2023 FSC-klagomål mail.docx", "A 21991-2023")</f>
        <v/>
      </c>
      <c r="AA43">
        <f>HYPERLINK("https://klasma.github.io/Logging_0583/tillsyn/A 21991-2023 tillsynsbegäran.docx", "A 21991-2023")</f>
        <v/>
      </c>
      <c r="AB43">
        <f>HYPERLINK("https://klasma.github.io/Logging_0583/tillsynsmail/A 21991-2023 tillsynsbegäran mail.docx", "A 21991-2023")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46218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Fiskgjuse</t>
        </is>
      </c>
      <c r="V44">
        <f>HYPERLINK("https://klasma.github.io/Logging_0583/artfynd/A 2194-2023 artfynd.xlsx", "A 2194-2023")</f>
        <v/>
      </c>
      <c r="W44">
        <f>HYPERLINK("https://klasma.github.io/Logging_0583/kartor/A 2194-2023 karta.png", "A 2194-2023")</f>
        <v/>
      </c>
      <c r="Y44">
        <f>HYPERLINK("https://klasma.github.io/Logging_0583/klagomål/A 2194-2023 FSC-klagomål.docx", "A 2194-2023")</f>
        <v/>
      </c>
      <c r="Z44">
        <f>HYPERLINK("https://klasma.github.io/Logging_0583/klagomålsmail/A 2194-2023 FSC-klagomål mail.docx", "A 2194-2023")</f>
        <v/>
      </c>
      <c r="AA44">
        <f>HYPERLINK("https://klasma.github.io/Logging_0583/tillsyn/A 2194-2023 tillsynsbegäran.docx", "A 2194-2023")</f>
        <v/>
      </c>
      <c r="AB44">
        <f>HYPERLINK("https://klasma.github.io/Logging_0583/tillsynsmail/A 2194-2023 tillsynsbegäran mail.docx", "A 2194-2023")</f>
        <v/>
      </c>
      <c r="AC44">
        <f>HYPERLINK("https://klasma.github.io/Logging_0583/fåglar/A 2194-2023 prioriterade fågelarter.docx", "A 2194-2023")</f>
        <v/>
      </c>
    </row>
    <row r="45" ht="15" customHeight="1">
      <c r="A45" t="inlineStr">
        <is>
          <t>A 24554-2025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46218</v>
      </c>
      <c r="F45" t="inlineStr">
        <is>
          <t>ÖSTERGÖTLANDS LÄN</t>
        </is>
      </c>
      <c r="G45" t="inlineStr">
        <is>
          <t>MOTALA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HYPERLINK("https://klasma.github.io/Logging_0583/artfynd/A 24554-2025 artfynd.xlsx", "A 24554-2025")</f>
        <v/>
      </c>
      <c r="W45">
        <f>HYPERLINK("https://klasma.github.io/Logging_0583/kartor/A 24554-2025 karta.png", "A 24554-2025")</f>
        <v/>
      </c>
      <c r="Y45">
        <f>HYPERLINK("https://klasma.github.io/Logging_0583/klagomål/A 24554-2025 FSC-klagomål.docx", "A 24554-2025")</f>
        <v/>
      </c>
      <c r="Z45">
        <f>HYPERLINK("https://klasma.github.io/Logging_0583/klagomålsmail/A 24554-2025 FSC-klagomål mail.docx", "A 24554-2025")</f>
        <v/>
      </c>
      <c r="AA45">
        <f>HYPERLINK("https://klasma.github.io/Logging_0583/tillsyn/A 24554-2025 tillsynsbegäran.docx", "A 24554-2025")</f>
        <v/>
      </c>
      <c r="AB45">
        <f>HYPERLINK("https://klasma.github.io/Logging_0583/tillsynsmail/A 24554-2025 tillsynsbegäran mail.docx", "A 24554-2025")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46218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Blåsippa</t>
        </is>
      </c>
      <c r="V46">
        <f>HYPERLINK("https://klasma.github.io/Logging_0583/artfynd/A 18729-2025 artfynd.xlsx", "A 18729-2025")</f>
        <v/>
      </c>
      <c r="W46">
        <f>HYPERLINK("https://klasma.github.io/Logging_0583/kartor/A 18729-2025 karta.png", "A 18729-2025")</f>
        <v/>
      </c>
      <c r="Y46">
        <f>HYPERLINK("https://klasma.github.io/Logging_0583/klagomål/A 18729-2025 FSC-klagomål.docx", "A 18729-2025")</f>
        <v/>
      </c>
      <c r="Z46">
        <f>HYPERLINK("https://klasma.github.io/Logging_0583/klagomålsmail/A 18729-2025 FSC-klagomål mail.docx", "A 18729-2025")</f>
        <v/>
      </c>
      <c r="AA46">
        <f>HYPERLINK("https://klasma.github.io/Logging_0583/tillsyn/A 18729-2025 tillsynsbegäran.docx", "A 18729-2025")</f>
        <v/>
      </c>
      <c r="AB46">
        <f>HYPERLINK("https://klasma.github.io/Logging_0583/tillsynsmail/A 18729-2025 tillsynsbegäran mail.docx", "A 18729-2025")</f>
        <v/>
      </c>
    </row>
    <row r="47" ht="15" customHeight="1">
      <c r="A47" t="inlineStr">
        <is>
          <t>A 52523-2022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46218</v>
      </c>
      <c r="F47" t="inlineStr">
        <is>
          <t>ÖSTERGÖTLANDS LÄN</t>
        </is>
      </c>
      <c r="G47" t="inlineStr">
        <is>
          <t>MOTALA</t>
        </is>
      </c>
      <c r="H47" t="inlineStr">
        <is>
          <t>Kyrkan</t>
        </is>
      </c>
      <c r="I47" t="n">
        <v>6.7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s="2" t="inlineStr">
        <is>
          <t>Fläcknycklar</t>
        </is>
      </c>
      <c r="V47">
        <f>HYPERLINK("https://klasma.github.io/Logging_0583/artfynd/A 52523-2022 artfynd.xlsx", "A 52523-2022")</f>
        <v/>
      </c>
      <c r="W47">
        <f>HYPERLINK("https://klasma.github.io/Logging_0583/kartor/A 52523-2022 karta.png", "A 52523-2022")</f>
        <v/>
      </c>
      <c r="Y47">
        <f>HYPERLINK("https://klasma.github.io/Logging_0583/klagomål/A 52523-2022 FSC-klagomål.docx", "A 52523-2022")</f>
        <v/>
      </c>
      <c r="Z47">
        <f>HYPERLINK("https://klasma.github.io/Logging_0583/klagomålsmail/A 52523-2022 FSC-klagomål mail.docx", "A 52523-2022")</f>
        <v/>
      </c>
      <c r="AA47">
        <f>HYPERLINK("https://klasma.github.io/Logging_0583/tillsyn/A 52523-2022 tillsynsbegäran.docx", "A 52523-2022")</f>
        <v/>
      </c>
      <c r="AB47">
        <f>HYPERLINK("https://klasma.github.io/Logging_0583/tillsynsmail/A 52523-2022 tillsynsbegäran mail.docx", "A 52523-2022")</f>
        <v/>
      </c>
    </row>
    <row r="48" ht="15" customHeight="1">
      <c r="A48" t="inlineStr">
        <is>
          <t>A 27907-2026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46191</v>
      </c>
      <c r="E48" s="1" t="n">
        <v>46218</v>
      </c>
      <c r="F48" t="inlineStr">
        <is>
          <t>ÖSTERGÖTLANDS LÄN</t>
        </is>
      </c>
      <c r="G48" t="inlineStr">
        <is>
          <t>MOTALA</t>
        </is>
      </c>
      <c r="H48" t="inlineStr">
        <is>
          <t>Holmen skog AB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Orre</t>
        </is>
      </c>
      <c r="V48">
        <f>HYPERLINK("https://klasma.github.io/Logging_0583/artfynd/A 27907-2026 artfynd.xlsx", "A 27907-2026")</f>
        <v/>
      </c>
      <c r="W48">
        <f>HYPERLINK("https://klasma.github.io/Logging_0583/kartor/A 27907-2026 karta.png", "A 27907-2026")</f>
        <v/>
      </c>
      <c r="Y48">
        <f>HYPERLINK("https://klasma.github.io/Logging_0583/klagomål/A 27907-2026 FSC-klagomål.docx", "A 27907-2026")</f>
        <v/>
      </c>
      <c r="Z48">
        <f>HYPERLINK("https://klasma.github.io/Logging_0583/klagomålsmail/A 27907-2026 FSC-klagomål mail.docx", "A 27907-2026")</f>
        <v/>
      </c>
      <c r="AA48">
        <f>HYPERLINK("https://klasma.github.io/Logging_0583/tillsyn/A 27907-2026 tillsynsbegäran.docx", "A 27907-2026")</f>
        <v/>
      </c>
      <c r="AB48">
        <f>HYPERLINK("https://klasma.github.io/Logging_0583/tillsynsmail/A 27907-2026 tillsynsbegäran mail.docx", "A 27907-2026")</f>
        <v/>
      </c>
      <c r="AC48">
        <f>HYPERLINK("https://klasma.github.io/Logging_0583/fåglar/A 27907-2026 prioriterade fågelarter.docx", "A 27907-2026")</f>
        <v/>
      </c>
    </row>
    <row r="49" ht="15" customHeight="1">
      <c r="A49" t="inlineStr">
        <is>
          <t>A 17739-2026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46122</v>
      </c>
      <c r="E49" s="1" t="n">
        <v>46218</v>
      </c>
      <c r="F49" t="inlineStr">
        <is>
          <t>ÖSTERGÖTLANDS LÄN</t>
        </is>
      </c>
      <c r="G49" t="inlineStr">
        <is>
          <t>MOTALA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HYPERLINK("https://klasma.github.io/Logging_0583/artfynd/A 17739-2026 artfynd.xlsx", "A 17739-2026")</f>
        <v/>
      </c>
      <c r="W49">
        <f>HYPERLINK("https://klasma.github.io/Logging_0583/kartor/A 17739-2026 karta.png", "A 17739-2026")</f>
        <v/>
      </c>
      <c r="Y49">
        <f>HYPERLINK("https://klasma.github.io/Logging_0583/klagomål/A 17739-2026 FSC-klagomål.docx", "A 17739-2026")</f>
        <v/>
      </c>
      <c r="Z49">
        <f>HYPERLINK("https://klasma.github.io/Logging_0583/klagomålsmail/A 17739-2026 FSC-klagomål mail.docx", "A 17739-2026")</f>
        <v/>
      </c>
      <c r="AA49">
        <f>HYPERLINK("https://klasma.github.io/Logging_0583/tillsyn/A 17739-2026 tillsynsbegäran.docx", "A 17739-2026")</f>
        <v/>
      </c>
      <c r="AB49">
        <f>HYPERLINK("https://klasma.github.io/Logging_0583/tillsynsmail/A 17739-2026 tillsynsbegäran mail.docx", "A 17739-2026")</f>
        <v/>
      </c>
      <c r="AC49">
        <f>HYPERLINK("https://klasma.github.io/Logging_0583/fåglar/A 17739-2026 prioriterade fågelarter.docx", "A 17739-2026")</f>
        <v/>
      </c>
    </row>
    <row r="50" ht="15" customHeight="1">
      <c r="A50" t="inlineStr">
        <is>
          <t>A 17740-2026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46122</v>
      </c>
      <c r="E50" s="1" t="n">
        <v>46218</v>
      </c>
      <c r="F50" t="inlineStr">
        <is>
          <t>ÖSTERGÖTLANDS LÄN</t>
        </is>
      </c>
      <c r="G50" t="inlineStr">
        <is>
          <t>MOTALA</t>
        </is>
      </c>
      <c r="H50" t="inlineStr">
        <is>
          <t>Sveaskog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HYPERLINK("https://klasma.github.io/Logging_0583/artfynd/A 17740-2026 artfynd.xlsx", "A 17740-2026")</f>
        <v/>
      </c>
      <c r="W50">
        <f>HYPERLINK("https://klasma.github.io/Logging_0583/kartor/A 17740-2026 karta.png", "A 17740-2026")</f>
        <v/>
      </c>
      <c r="Y50">
        <f>HYPERLINK("https://klasma.github.io/Logging_0583/klagomål/A 17740-2026 FSC-klagomål.docx", "A 17740-2026")</f>
        <v/>
      </c>
      <c r="Z50">
        <f>HYPERLINK("https://klasma.github.io/Logging_0583/klagomålsmail/A 17740-2026 FSC-klagomål mail.docx", "A 17740-2026")</f>
        <v/>
      </c>
      <c r="AA50">
        <f>HYPERLINK("https://klasma.github.io/Logging_0583/tillsyn/A 17740-2026 tillsynsbegäran.docx", "A 17740-2026")</f>
        <v/>
      </c>
      <c r="AB50">
        <f>HYPERLINK("https://klasma.github.io/Logging_0583/tillsynsmail/A 17740-2026 tillsynsbegäran mail.docx", "A 17740-2026")</f>
        <v/>
      </c>
    </row>
    <row r="51" ht="15" customHeight="1">
      <c r="A51" t="inlineStr">
        <is>
          <t>A 44814-2025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46218</v>
      </c>
      <c r="F51" t="inlineStr">
        <is>
          <t>ÖSTERGÖTLANDS LÄN</t>
        </is>
      </c>
      <c r="G51" t="inlineStr">
        <is>
          <t>MOTALA</t>
        </is>
      </c>
      <c r="I51" t="n">
        <v>5.9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Gullklöver</t>
        </is>
      </c>
      <c r="V51">
        <f>HYPERLINK("https://klasma.github.io/Logging_0583/artfynd/A 44814-2025 artfynd.xlsx", "A 44814-2025")</f>
        <v/>
      </c>
      <c r="W51">
        <f>HYPERLINK("https://klasma.github.io/Logging_0583/kartor/A 44814-2025 karta.png", "A 44814-2025")</f>
        <v/>
      </c>
      <c r="Y51">
        <f>HYPERLINK("https://klasma.github.io/Logging_0583/klagomål/A 44814-2025 FSC-klagomål.docx", "A 44814-2025")</f>
        <v/>
      </c>
      <c r="Z51">
        <f>HYPERLINK("https://klasma.github.io/Logging_0583/klagomålsmail/A 44814-2025 FSC-klagomål mail.docx", "A 44814-2025")</f>
        <v/>
      </c>
      <c r="AA51">
        <f>HYPERLINK("https://klasma.github.io/Logging_0583/tillsyn/A 44814-2025 tillsynsbegäran.docx", "A 44814-2025")</f>
        <v/>
      </c>
      <c r="AB51">
        <f>HYPERLINK("https://klasma.github.io/Logging_0583/tillsynsmail/A 44814-2025 tillsynsbegäran mail.docx", "A 44814-2025")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46218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s="2" t="inlineStr">
        <is>
          <t>Knärot</t>
        </is>
      </c>
      <c r="V52">
        <f>HYPERLINK("https://klasma.github.io/Logging_0583/artfynd/S 273-2025 artfynd.xlsx", "S 273-2025")</f>
        <v/>
      </c>
      <c r="W52">
        <f>HYPERLINK("https://klasma.github.io/Logging_0583/kartor/S 273-2025 karta.png", "S 273-2025")</f>
        <v/>
      </c>
      <c r="X52">
        <f>HYPERLINK("https://klasma.github.io/Logging_0583/knärot/S 273-2025 karta knärot.png", "S 273-2025")</f>
        <v/>
      </c>
      <c r="Y52">
        <f>HYPERLINK("https://klasma.github.io/Logging_0583/klagomål/S 273-2025 FSC-klagomål.docx", "S 273-2025")</f>
        <v/>
      </c>
      <c r="Z52">
        <f>HYPERLINK("https://klasma.github.io/Logging_0583/klagomålsmail/S 273-2025 FSC-klagomål mail.docx", "S 273-2025")</f>
        <v/>
      </c>
      <c r="AA52">
        <f>HYPERLINK("https://klasma.github.io/Logging_0583/tillsyn/S 273-2025 tillsynsbegäran.docx", "S 273-2025")</f>
        <v/>
      </c>
      <c r="AB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46218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HYPERLINK("https://klasma.github.io/Logging_0583/artfynd/S 2682-2022 artfynd.xlsx", "S 2682-2022")</f>
        <v/>
      </c>
      <c r="W53">
        <f>HYPERLINK("https://klasma.github.io/Logging_0583/kartor/S 2682-2022 karta.png", "S 2682-2022")</f>
        <v/>
      </c>
      <c r="Y53">
        <f>HYPERLINK("https://klasma.github.io/Logging_0583/klagomål/S 2682-2022 FSC-klagomål.docx", "S 2682-2022")</f>
        <v/>
      </c>
      <c r="Z53">
        <f>HYPERLINK("https://klasma.github.io/Logging_0583/klagomålsmail/S 2682-2022 FSC-klagomål mail.docx", "S 2682-2022")</f>
        <v/>
      </c>
      <c r="AA53">
        <f>HYPERLINK("https://klasma.github.io/Logging_0583/tillsyn/S 2682-2022 tillsynsbegäran.docx", "S 2682-2022")</f>
        <v/>
      </c>
      <c r="AB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46218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46218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46218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46218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46218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46218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44572</v>
      </c>
      <c r="E60" s="1" t="n">
        <v>46218</v>
      </c>
      <c r="F60" t="inlineStr">
        <is>
          <t>ÖSTERGÖTLANDS LÄN</t>
        </is>
      </c>
      <c r="G60" t="inlineStr">
        <is>
          <t>MOTALA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46218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46218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46218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46218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46218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46218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46218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46218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46218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46218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46218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46218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46218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46218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46218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46218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46218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46218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17071-2022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46218</v>
      </c>
      <c r="F79" t="inlineStr">
        <is>
          <t>ÖSTERGÖTLANDS LÄN</t>
        </is>
      </c>
      <c r="G79" t="inlineStr">
        <is>
          <t>MOTALA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41926-2022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46218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46218</v>
      </c>
      <c r="F81" t="inlineStr">
        <is>
          <t>ÖSTERGÖTLANDS LÄN</t>
        </is>
      </c>
      <c r="G81" t="inlineStr">
        <is>
          <t>MOTALA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46218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46218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46218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46218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46218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46218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6793-2022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46218</v>
      </c>
      <c r="F88" t="inlineStr">
        <is>
          <t>ÖSTERGÖTLANDS LÄN</t>
        </is>
      </c>
      <c r="G88" t="inlineStr">
        <is>
          <t>MOTALA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46218</v>
      </c>
      <c r="F89" t="inlineStr">
        <is>
          <t>ÖSTERGÖTLANDS LÄN</t>
        </is>
      </c>
      <c r="G89" t="inlineStr">
        <is>
          <t>MOTALA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10678-2022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46218</v>
      </c>
      <c r="F90" t="inlineStr">
        <is>
          <t>ÖSTERGÖTLANDS LÄN</t>
        </is>
      </c>
      <c r="G90" t="inlineStr">
        <is>
          <t>MOTALA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46218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46218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46218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46218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46218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46218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46958-2021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46218</v>
      </c>
      <c r="F97" t="inlineStr">
        <is>
          <t>ÖSTERGÖTLANDS LÄN</t>
        </is>
      </c>
      <c r="G97" t="inlineStr">
        <is>
          <t>MOTALA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41911-2022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46218</v>
      </c>
      <c r="F98" t="inlineStr">
        <is>
          <t>ÖSTERGÖTLANDS LÄN</t>
        </is>
      </c>
      <c r="G98" t="inlineStr">
        <is>
          <t>MOTALA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46218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46218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46218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46218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7710-2022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46218</v>
      </c>
      <c r="F103" t="inlineStr">
        <is>
          <t>ÖSTERGÖTLANDS LÄN</t>
        </is>
      </c>
      <c r="G103" t="inlineStr">
        <is>
          <t>MOTALA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66199-2021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46218</v>
      </c>
      <c r="F104" t="inlineStr">
        <is>
          <t>ÖSTERGÖTLANDS LÄN</t>
        </is>
      </c>
      <c r="G104" t="inlineStr">
        <is>
          <t>MOTALA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46218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49787-2021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46218</v>
      </c>
      <c r="F106" t="inlineStr">
        <is>
          <t>ÖSTERGÖTLANDS LÄN</t>
        </is>
      </c>
      <c r="G106" t="inlineStr">
        <is>
          <t>MOTALA</t>
        </is>
      </c>
      <c r="I106" t="n">
        <v>11.9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49658-2021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46218</v>
      </c>
      <c r="F107" t="inlineStr">
        <is>
          <t>ÖSTERGÖTLANDS LÄN</t>
        </is>
      </c>
      <c r="G107" t="inlineStr">
        <is>
          <t>MOTALA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46218</v>
      </c>
      <c r="F108" t="inlineStr">
        <is>
          <t>ÖSTERGÖTLANDS LÄN</t>
        </is>
      </c>
      <c r="G108" t="inlineStr">
        <is>
          <t>MOTALA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46218</v>
      </c>
      <c r="F109" t="inlineStr">
        <is>
          <t>ÖSTERGÖTLANDS LÄN</t>
        </is>
      </c>
      <c r="G109" t="inlineStr">
        <is>
          <t>MOTALA</t>
        </is>
      </c>
      <c r="H109" t="inlineStr">
        <is>
          <t>Övriga statliga verk och myndigheter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28902-2022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44749</v>
      </c>
      <c r="E110" s="1" t="n">
        <v>46218</v>
      </c>
      <c r="F110" t="inlineStr">
        <is>
          <t>ÖSTERGÖTLANDS LÄN</t>
        </is>
      </c>
      <c r="G110" t="inlineStr">
        <is>
          <t>MOTALA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62549-2021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44503</v>
      </c>
      <c r="E111" s="1" t="n">
        <v>46218</v>
      </c>
      <c r="F111" t="inlineStr">
        <is>
          <t>ÖSTERGÖTLANDS LÄN</t>
        </is>
      </c>
      <c r="G111" t="inlineStr">
        <is>
          <t>MOTALA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46218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46218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60618-2021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46218</v>
      </c>
      <c r="F114" t="inlineStr">
        <is>
          <t>ÖSTERGÖTLANDS LÄN</t>
        </is>
      </c>
      <c r="G114" t="inlineStr">
        <is>
          <t>MOTALA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46218</v>
      </c>
      <c r="F115" t="inlineStr">
        <is>
          <t>ÖSTERGÖTLANDS LÄN</t>
        </is>
      </c>
      <c r="G115" t="inlineStr">
        <is>
          <t>MOTALA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46218</v>
      </c>
      <c r="F116" t="inlineStr">
        <is>
          <t>ÖSTERGÖTLANDS LÄN</t>
        </is>
      </c>
      <c r="G116" t="inlineStr">
        <is>
          <t>MOTALA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46218</v>
      </c>
      <c r="F117" t="inlineStr">
        <is>
          <t>ÖSTERGÖTLANDS LÄN</t>
        </is>
      </c>
      <c r="G117" t="inlineStr">
        <is>
          <t>MOTALA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35663-2022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46218</v>
      </c>
      <c r="F118" t="inlineStr">
        <is>
          <t>ÖSTERGÖTLANDS LÄN</t>
        </is>
      </c>
      <c r="G118" t="inlineStr">
        <is>
          <t>MOTALA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46218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46218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46218</v>
      </c>
      <c r="F121" t="inlineStr">
        <is>
          <t>ÖSTERGÖTLANDS LÄN</t>
        </is>
      </c>
      <c r="G121" t="inlineStr">
        <is>
          <t>MOTALA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68288-2021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44526</v>
      </c>
      <c r="E122" s="1" t="n">
        <v>46218</v>
      </c>
      <c r="F122" t="inlineStr">
        <is>
          <t>ÖSTERGÖTLANDS LÄN</t>
        </is>
      </c>
      <c r="G122" t="inlineStr">
        <is>
          <t>MOTALA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9626-2023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46218</v>
      </c>
      <c r="F123" t="inlineStr">
        <is>
          <t>ÖSTERGÖTLANDS LÄN</t>
        </is>
      </c>
      <c r="G123" t="inlineStr">
        <is>
          <t>MOTALA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68348-2021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44528</v>
      </c>
      <c r="E124" s="1" t="n">
        <v>46218</v>
      </c>
      <c r="F124" t="inlineStr">
        <is>
          <t>ÖSTERGÖTLANDS LÄN</t>
        </is>
      </c>
      <c r="G124" t="inlineStr">
        <is>
          <t>MOTALA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44796</v>
      </c>
      <c r="E125" s="1" t="n">
        <v>46218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21.3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62019-2021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44501</v>
      </c>
      <c r="E126" s="1" t="n">
        <v>46218</v>
      </c>
      <c r="F126" t="inlineStr">
        <is>
          <t>ÖSTERGÖTLANDS LÄN</t>
        </is>
      </c>
      <c r="G126" t="inlineStr">
        <is>
          <t>MOTALA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67748-2021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46218</v>
      </c>
      <c r="F127" t="inlineStr">
        <is>
          <t>ÖSTERGÖTLANDS LÄN</t>
        </is>
      </c>
      <c r="G127" t="inlineStr">
        <is>
          <t>MOTALA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11061-2022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44628</v>
      </c>
      <c r="E128" s="1" t="n">
        <v>46218</v>
      </c>
      <c r="F128" t="inlineStr">
        <is>
          <t>ÖSTERGÖTLANDS LÄN</t>
        </is>
      </c>
      <c r="G128" t="inlineStr">
        <is>
          <t>MOTALA</t>
        </is>
      </c>
      <c r="H128" t="inlineStr">
        <is>
          <t>Allmännings- och besparingsskogar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12434-2023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44999</v>
      </c>
      <c r="E129" s="1" t="n">
        <v>46218</v>
      </c>
      <c r="F129" t="inlineStr">
        <is>
          <t>ÖSTERGÖTLANDS LÄN</t>
        </is>
      </c>
      <c r="G129" t="inlineStr">
        <is>
          <t>MOTALA</t>
        </is>
      </c>
      <c r="H129" t="inlineStr">
        <is>
          <t>Allmännings- och besparingsskogar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46218</v>
      </c>
      <c r="F130" t="inlineStr">
        <is>
          <t>ÖSTERGÖTLANDS LÄN</t>
        </is>
      </c>
      <c r="G130" t="inlineStr">
        <is>
          <t>MOTALA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42298-2023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46218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57992-2021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46218</v>
      </c>
      <c r="F132" t="inlineStr">
        <is>
          <t>ÖSTERGÖTLANDS LÄN</t>
        </is>
      </c>
      <c r="G132" t="inlineStr">
        <is>
          <t>MOTALA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46218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49627-2021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46218</v>
      </c>
      <c r="F134" t="inlineStr">
        <is>
          <t>ÖSTERGÖTLANDS LÄN</t>
        </is>
      </c>
      <c r="G134" t="inlineStr">
        <is>
          <t>MOTALA</t>
        </is>
      </c>
      <c r="I134" t="n">
        <v>14.2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13381-2024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45387</v>
      </c>
      <c r="E135" s="1" t="n">
        <v>46218</v>
      </c>
      <c r="F135" t="inlineStr">
        <is>
          <t>ÖSTERGÖTLANDS LÄN</t>
        </is>
      </c>
      <c r="G135" t="inlineStr">
        <is>
          <t>MOTALA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6990-2023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46218</v>
      </c>
      <c r="F136" t="inlineStr">
        <is>
          <t>ÖSTERGÖTLANDS LÄN</t>
        </is>
      </c>
      <c r="G136" t="inlineStr">
        <is>
          <t>MOTALA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6992-2023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46218</v>
      </c>
      <c r="F137" t="inlineStr">
        <is>
          <t>ÖSTERGÖTLANDS LÄN</t>
        </is>
      </c>
      <c r="G137" t="inlineStr">
        <is>
          <t>MOTALA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46681-2021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44445</v>
      </c>
      <c r="E138" s="1" t="n">
        <v>46218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56867-2022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46218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50082-2022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46218</v>
      </c>
      <c r="F140" t="inlineStr">
        <is>
          <t>ÖSTERGÖTLANDS LÄN</t>
        </is>
      </c>
      <c r="G140" t="inlineStr">
        <is>
          <t>MOTALA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60610-2022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44911</v>
      </c>
      <c r="E141" s="1" t="n">
        <v>46218</v>
      </c>
      <c r="F141" t="inlineStr">
        <is>
          <t>ÖSTERGÖTLANDS LÄN</t>
        </is>
      </c>
      <c r="G141" t="inlineStr">
        <is>
          <t>MOTALA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9081-2022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44615</v>
      </c>
      <c r="E142" s="1" t="n">
        <v>46218</v>
      </c>
      <c r="F142" t="inlineStr">
        <is>
          <t>ÖSTERGÖTLANDS LÄN</t>
        </is>
      </c>
      <c r="G142" t="inlineStr">
        <is>
          <t>MOTALA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27965-2024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46218</v>
      </c>
      <c r="F143" t="inlineStr">
        <is>
          <t>ÖSTERGÖTLANDS LÄN</t>
        </is>
      </c>
      <c r="G143" t="inlineStr">
        <is>
          <t>MOTALA</t>
        </is>
      </c>
      <c r="H143" t="inlineStr">
        <is>
          <t>Holmen skog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58344-2022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46218</v>
      </c>
      <c r="F144" t="inlineStr">
        <is>
          <t>ÖSTERGÖTLANDS LÄN</t>
        </is>
      </c>
      <c r="G144" t="inlineStr">
        <is>
          <t>MOTALA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46218</v>
      </c>
      <c r="F145" t="inlineStr">
        <is>
          <t>ÖSTERGÖTLANDS LÄN</t>
        </is>
      </c>
      <c r="G145" t="inlineStr">
        <is>
          <t>MOTALA</t>
        </is>
      </c>
      <c r="H145" t="inlineStr">
        <is>
          <t>Sveaskog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39229-2025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46218</v>
      </c>
      <c r="F146" t="inlineStr">
        <is>
          <t>ÖSTERGÖTLANDS LÄN</t>
        </is>
      </c>
      <c r="G146" t="inlineStr">
        <is>
          <t>MOTALA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55395-2022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46218</v>
      </c>
      <c r="F147" t="inlineStr">
        <is>
          <t>ÖSTERGÖTLANDS LÄN</t>
        </is>
      </c>
      <c r="G147" t="inlineStr">
        <is>
          <t>MOTALA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44931</v>
      </c>
      <c r="E148" s="1" t="n">
        <v>46218</v>
      </c>
      <c r="F148" t="inlineStr">
        <is>
          <t>ÖSTERGÖTLANDS LÄN</t>
        </is>
      </c>
      <c r="G148" t="inlineStr">
        <is>
          <t>MOTALA</t>
        </is>
      </c>
      <c r="H148" t="inlineStr">
        <is>
          <t>Övriga statliga verk och myndigheter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46218</v>
      </c>
      <c r="F149" t="inlineStr">
        <is>
          <t>ÖSTERGÖTLANDS LÄN</t>
        </is>
      </c>
      <c r="G149" t="inlineStr">
        <is>
          <t>MOTALA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28202-2023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46218</v>
      </c>
      <c r="F150" t="inlineStr">
        <is>
          <t>ÖSTERGÖTLANDS LÄN</t>
        </is>
      </c>
      <c r="G150" t="inlineStr">
        <is>
          <t>MOTALA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24090-2023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46218</v>
      </c>
      <c r="F151" t="inlineStr">
        <is>
          <t>ÖSTERGÖTLANDS LÄN</t>
        </is>
      </c>
      <c r="G151" t="inlineStr">
        <is>
          <t>MOTALA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23580-2024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46218</v>
      </c>
      <c r="F152" t="inlineStr">
        <is>
          <t>ÖSTERGÖTLANDS LÄN</t>
        </is>
      </c>
      <c r="G152" t="inlineStr">
        <is>
          <t>MOTALA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40106-2025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46218</v>
      </c>
      <c r="F153" t="inlineStr">
        <is>
          <t>ÖSTERGÖTLANDS LÄN</t>
        </is>
      </c>
      <c r="G153" t="inlineStr">
        <is>
          <t>MOTALA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5773-2024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45335</v>
      </c>
      <c r="E154" s="1" t="n">
        <v>46218</v>
      </c>
      <c r="F154" t="inlineStr">
        <is>
          <t>ÖSTERGÖTLANDS LÄN</t>
        </is>
      </c>
      <c r="G154" t="inlineStr">
        <is>
          <t>MOTALA</t>
        </is>
      </c>
      <c r="H154" t="inlineStr">
        <is>
          <t>Sveaskog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22108-2023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46218</v>
      </c>
      <c r="F155" t="inlineStr">
        <is>
          <t>ÖSTERGÖTLANDS LÄN</t>
        </is>
      </c>
      <c r="G155" t="inlineStr">
        <is>
          <t>MOTALA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12916-2023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46218</v>
      </c>
      <c r="F156" t="inlineStr">
        <is>
          <t>ÖSTERGÖTLANDS LÄN</t>
        </is>
      </c>
      <c r="G156" t="inlineStr">
        <is>
          <t>MOTALA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16586-2023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45030</v>
      </c>
      <c r="E157" s="1" t="n">
        <v>46218</v>
      </c>
      <c r="F157" t="inlineStr">
        <is>
          <t>ÖSTERGÖTLANDS LÄN</t>
        </is>
      </c>
      <c r="G157" t="inlineStr">
        <is>
          <t>MOTALA</t>
        </is>
      </c>
      <c r="H157" t="inlineStr">
        <is>
          <t>Kyrkan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46218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64164-2023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46218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50180-2023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46218</v>
      </c>
      <c r="F160" t="inlineStr">
        <is>
          <t>ÖSTERGÖTLANDS LÄN</t>
        </is>
      </c>
      <c r="G160" t="inlineStr">
        <is>
          <t>MOTALA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46218</v>
      </c>
      <c r="F161" t="inlineStr">
        <is>
          <t>ÖSTERGÖTLANDS LÄN</t>
        </is>
      </c>
      <c r="G161" t="inlineStr">
        <is>
          <t>MOTALA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46218</v>
      </c>
      <c r="F162" t="inlineStr">
        <is>
          <t>ÖSTERGÖTLANDS LÄN</t>
        </is>
      </c>
      <c r="G162" t="inlineStr">
        <is>
          <t>MOTALA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46218</v>
      </c>
      <c r="F163" t="inlineStr">
        <is>
          <t>ÖSTERGÖTLANDS LÄN</t>
        </is>
      </c>
      <c r="G163" t="inlineStr">
        <is>
          <t>MOTALA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41009-2025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46218</v>
      </c>
      <c r="F164" t="inlineStr">
        <is>
          <t>ÖSTERGÖTLANDS LÄN</t>
        </is>
      </c>
      <c r="G164" t="inlineStr">
        <is>
          <t>MOTALA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46218</v>
      </c>
      <c r="F165" t="inlineStr">
        <is>
          <t>ÖSTERGÖTLANDS LÄN</t>
        </is>
      </c>
      <c r="G165" t="inlineStr">
        <is>
          <t>MOTALA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60029-2021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46218</v>
      </c>
      <c r="F166" t="inlineStr">
        <is>
          <t>ÖSTERGÖTLANDS LÄN</t>
        </is>
      </c>
      <c r="G166" t="inlineStr">
        <is>
          <t>MOTALA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43369-2023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46218</v>
      </c>
      <c r="F167" t="inlineStr">
        <is>
          <t>ÖSTERGÖTLANDS LÄN</t>
        </is>
      </c>
      <c r="G167" t="inlineStr">
        <is>
          <t>MOTALA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44930</v>
      </c>
      <c r="E168" s="1" t="n">
        <v>46218</v>
      </c>
      <c r="F168" t="inlineStr">
        <is>
          <t>ÖSTERGÖTLANDS LÄN</t>
        </is>
      </c>
      <c r="G168" t="inlineStr">
        <is>
          <t>MOTALA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45237-2024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46218</v>
      </c>
      <c r="F169" t="inlineStr">
        <is>
          <t>ÖSTERGÖTLANDS LÄN</t>
        </is>
      </c>
      <c r="G169" t="inlineStr">
        <is>
          <t>MOTALA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62065-2023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46218</v>
      </c>
      <c r="F170" t="inlineStr">
        <is>
          <t>ÖSTERGÖTLANDS LÄN</t>
        </is>
      </c>
      <c r="G170" t="inlineStr">
        <is>
          <t>MOTALA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7295-2022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44606</v>
      </c>
      <c r="E171" s="1" t="n">
        <v>46218</v>
      </c>
      <c r="F171" t="inlineStr">
        <is>
          <t>ÖSTERGÖTLANDS LÄN</t>
        </is>
      </c>
      <c r="G171" t="inlineStr">
        <is>
          <t>MOTALA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54125-2022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46218</v>
      </c>
      <c r="F172" t="inlineStr">
        <is>
          <t>ÖSTERGÖTLANDS LÄN</t>
        </is>
      </c>
      <c r="G172" t="inlineStr">
        <is>
          <t>MOTALA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45114</v>
      </c>
      <c r="E173" s="1" t="n">
        <v>46218</v>
      </c>
      <c r="F173" t="inlineStr">
        <is>
          <t>ÖSTERGÖTLANDS LÄN</t>
        </is>
      </c>
      <c r="G173" t="inlineStr">
        <is>
          <t>MOTALA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17543-2022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44679</v>
      </c>
      <c r="E174" s="1" t="n">
        <v>46218</v>
      </c>
      <c r="F174" t="inlineStr">
        <is>
          <t>ÖSTERGÖTLANDS LÄN</t>
        </is>
      </c>
      <c r="G174" t="inlineStr">
        <is>
          <t>MOTALA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55025-2024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46218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45659</v>
      </c>
      <c r="E176" s="1" t="n">
        <v>46218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31744-2022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44776</v>
      </c>
      <c r="E177" s="1" t="n">
        <v>46218</v>
      </c>
      <c r="F177" t="inlineStr">
        <is>
          <t>ÖSTERGÖTLANDS LÄN</t>
        </is>
      </c>
      <c r="G177" t="inlineStr">
        <is>
          <t>MOTALA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7058-2024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46218</v>
      </c>
      <c r="F178" t="inlineStr">
        <is>
          <t>ÖSTERGÖTLANDS LÄN</t>
        </is>
      </c>
      <c r="G178" t="inlineStr">
        <is>
          <t>MOTALA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46218</v>
      </c>
      <c r="F179" t="inlineStr">
        <is>
          <t>ÖSTERGÖTLANDS LÄN</t>
        </is>
      </c>
      <c r="G179" t="inlineStr">
        <is>
          <t>MOTALA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53322-2023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46218</v>
      </c>
      <c r="F180" t="inlineStr">
        <is>
          <t>ÖSTERGÖTLANDS LÄN</t>
        </is>
      </c>
      <c r="G180" t="inlineStr">
        <is>
          <t>MOTALA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48684-2024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46218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49867-2024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46218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44776</v>
      </c>
      <c r="E183" s="1" t="n">
        <v>46218</v>
      </c>
      <c r="F183" t="inlineStr">
        <is>
          <t>ÖSTERGÖTLANDS LÄN</t>
        </is>
      </c>
      <c r="G183" t="inlineStr">
        <is>
          <t>MOTALA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46218</v>
      </c>
      <c r="F184" t="inlineStr">
        <is>
          <t>ÖSTERGÖTLANDS LÄN</t>
        </is>
      </c>
      <c r="G184" t="inlineStr">
        <is>
          <t>MOTALA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46218</v>
      </c>
      <c r="F185" t="inlineStr">
        <is>
          <t>ÖSTERGÖTLANDS LÄN</t>
        </is>
      </c>
      <c r="G185" t="inlineStr">
        <is>
          <t>MOTALA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8111-2024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46218</v>
      </c>
      <c r="F186" t="inlineStr">
        <is>
          <t>ÖSTERGÖTLANDS LÄN</t>
        </is>
      </c>
      <c r="G186" t="inlineStr">
        <is>
          <t>MOTALA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47999-2023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46218</v>
      </c>
      <c r="F187" t="inlineStr">
        <is>
          <t>ÖSTERGÖTLANDS LÄN</t>
        </is>
      </c>
      <c r="G187" t="inlineStr">
        <is>
          <t>MOTALA</t>
        </is>
      </c>
      <c r="H187" t="inlineStr">
        <is>
          <t>Allmännings- och besparingsskogar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45790-2025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46218</v>
      </c>
      <c r="F188" t="inlineStr">
        <is>
          <t>ÖSTERGÖTLANDS LÄN</t>
        </is>
      </c>
      <c r="G188" t="inlineStr">
        <is>
          <t>MOTALA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40191-2021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44418</v>
      </c>
      <c r="E189" s="1" t="n">
        <v>46218</v>
      </c>
      <c r="F189" t="inlineStr">
        <is>
          <t>ÖSTERGÖTLANDS LÄN</t>
        </is>
      </c>
      <c r="G189" t="inlineStr">
        <is>
          <t>MOTALA</t>
        </is>
      </c>
      <c r="I189" t="n">
        <v>11.2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31441-2023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45114</v>
      </c>
      <c r="E190" s="1" t="n">
        <v>46218</v>
      </c>
      <c r="F190" t="inlineStr">
        <is>
          <t>ÖSTERGÖTLANDS LÄN</t>
        </is>
      </c>
      <c r="G190" t="inlineStr">
        <is>
          <t>MOTALA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24701-2024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46218</v>
      </c>
      <c r="F191" t="inlineStr">
        <is>
          <t>ÖSTERGÖTLANDS LÄN</t>
        </is>
      </c>
      <c r="G191" t="inlineStr">
        <is>
          <t>MOTALA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51638-2023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46218</v>
      </c>
      <c r="F192" t="inlineStr">
        <is>
          <t>ÖSTERGÖTLANDS LÄN</t>
        </is>
      </c>
      <c r="G192" t="inlineStr">
        <is>
          <t>MOTALA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46218</v>
      </c>
      <c r="F193" t="inlineStr">
        <is>
          <t>ÖSTERGÖTLANDS LÄN</t>
        </is>
      </c>
      <c r="G193" t="inlineStr">
        <is>
          <t>MOTALA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40518-2022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44819</v>
      </c>
      <c r="E194" s="1" t="n">
        <v>46218</v>
      </c>
      <c r="F194" t="inlineStr">
        <is>
          <t>ÖSTERGÖTLANDS LÄN</t>
        </is>
      </c>
      <c r="G194" t="inlineStr">
        <is>
          <t>MOTALA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45302</v>
      </c>
      <c r="E195" s="1" t="n">
        <v>46218</v>
      </c>
      <c r="F195" t="inlineStr">
        <is>
          <t>ÖSTERGÖTLANDS LÄN</t>
        </is>
      </c>
      <c r="G195" t="inlineStr">
        <is>
          <t>MOTALA</t>
        </is>
      </c>
      <c r="H195" t="inlineStr">
        <is>
          <t>Övriga statliga verk och myndigheter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11168-2023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46218</v>
      </c>
      <c r="F196" t="inlineStr">
        <is>
          <t>ÖSTERGÖTLANDS LÄN</t>
        </is>
      </c>
      <c r="G196" t="inlineStr">
        <is>
          <t>MOTALA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47278-2025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46218</v>
      </c>
      <c r="F197" t="inlineStr">
        <is>
          <t>ÖSTERGÖTLANDS LÄN</t>
        </is>
      </c>
      <c r="G197" t="inlineStr">
        <is>
          <t>MOTALA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47282-2025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46218</v>
      </c>
      <c r="F198" t="inlineStr">
        <is>
          <t>ÖSTERGÖTLANDS LÄN</t>
        </is>
      </c>
      <c r="G198" t="inlineStr">
        <is>
          <t>MOTALA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46218</v>
      </c>
      <c r="F199" t="inlineStr">
        <is>
          <t>ÖSTERGÖTLANDS LÄN</t>
        </is>
      </c>
      <c r="G199" t="inlineStr">
        <is>
          <t>MOTALA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46218</v>
      </c>
      <c r="F200" t="inlineStr">
        <is>
          <t>ÖSTERGÖTLANDS LÄN</t>
        </is>
      </c>
      <c r="G200" t="inlineStr">
        <is>
          <t>MOTALA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22113-2023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45069</v>
      </c>
      <c r="E201" s="1" t="n">
        <v>46218</v>
      </c>
      <c r="F201" t="inlineStr">
        <is>
          <t>ÖSTERGÖTLANDS LÄN</t>
        </is>
      </c>
      <c r="G201" t="inlineStr">
        <is>
          <t>MOTALA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47362-2025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46218</v>
      </c>
      <c r="F202" t="inlineStr">
        <is>
          <t>ÖSTERGÖTLANDS LÄN</t>
        </is>
      </c>
      <c r="G202" t="inlineStr">
        <is>
          <t>MOTALA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46218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46218</v>
      </c>
      <c r="F204" t="inlineStr">
        <is>
          <t>ÖSTERGÖTLANDS LÄN</t>
        </is>
      </c>
      <c r="G204" t="inlineStr">
        <is>
          <t>MOTALA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41937-2022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46218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27220-2023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46218</v>
      </c>
      <c r="F206" t="inlineStr">
        <is>
          <t>ÖSTERGÖTLANDS LÄN</t>
        </is>
      </c>
      <c r="G206" t="inlineStr">
        <is>
          <t>MOTALA</t>
        </is>
      </c>
      <c r="H206" t="inlineStr">
        <is>
          <t>Övriga statliga verk och myndigheter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46218</v>
      </c>
      <c r="F207" t="inlineStr">
        <is>
          <t>ÖSTERGÖTLANDS LÄN</t>
        </is>
      </c>
      <c r="G207" t="inlineStr">
        <is>
          <t>MOTALA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57710-2023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46218</v>
      </c>
      <c r="F208" t="inlineStr">
        <is>
          <t>ÖSTERGÖTLANDS LÄN</t>
        </is>
      </c>
      <c r="G208" t="inlineStr">
        <is>
          <t>MOTALA</t>
        </is>
      </c>
      <c r="H208" t="inlineStr">
        <is>
          <t>Övriga statliga verk och myndigheter</t>
        </is>
      </c>
      <c r="I208" t="n">
        <v>12.2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47369-2025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46218</v>
      </c>
      <c r="F209" t="inlineStr">
        <is>
          <t>ÖSTERGÖTLANDS LÄN</t>
        </is>
      </c>
      <c r="G209" t="inlineStr">
        <is>
          <t>MOTALA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29523-2024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45484</v>
      </c>
      <c r="E210" s="1" t="n">
        <v>46218</v>
      </c>
      <c r="F210" t="inlineStr">
        <is>
          <t>ÖSTERGÖTLANDS LÄN</t>
        </is>
      </c>
      <c r="G210" t="inlineStr">
        <is>
          <t>MOTALA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25977-2022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44734</v>
      </c>
      <c r="E211" s="1" t="n">
        <v>46218</v>
      </c>
      <c r="F211" t="inlineStr">
        <is>
          <t>ÖSTERGÖTLANDS LÄN</t>
        </is>
      </c>
      <c r="G211" t="inlineStr">
        <is>
          <t>MOTALA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28681-2022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44748</v>
      </c>
      <c r="E212" s="1" t="n">
        <v>46218</v>
      </c>
      <c r="F212" t="inlineStr">
        <is>
          <t>ÖSTERGÖTLANDS LÄN</t>
        </is>
      </c>
      <c r="G212" t="inlineStr">
        <is>
          <t>MOTALA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71205-2021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44539</v>
      </c>
      <c r="E213" s="1" t="n">
        <v>46218</v>
      </c>
      <c r="F213" t="inlineStr">
        <is>
          <t>ÖSTERGÖTLANDS LÄN</t>
        </is>
      </c>
      <c r="G213" t="inlineStr">
        <is>
          <t>MOTALA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41898-2022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46218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28686-2022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46218</v>
      </c>
      <c r="F215" t="inlineStr">
        <is>
          <t>ÖSTERGÖTLANDS LÄN</t>
        </is>
      </c>
      <c r="G215" t="inlineStr">
        <is>
          <t>MOTALA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46218</v>
      </c>
      <c r="F216" t="inlineStr">
        <is>
          <t>ÖSTERGÖTLANDS LÄN</t>
        </is>
      </c>
      <c r="G216" t="inlineStr">
        <is>
          <t>MOTALA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18458-2024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45425</v>
      </c>
      <c r="E217" s="1" t="n">
        <v>46218</v>
      </c>
      <c r="F217" t="inlineStr">
        <is>
          <t>ÖSTERGÖTLANDS LÄN</t>
        </is>
      </c>
      <c r="G217" t="inlineStr">
        <is>
          <t>MOTALA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3993-2023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46218</v>
      </c>
      <c r="F218" t="inlineStr">
        <is>
          <t>ÖSTERGÖTLANDS LÄN</t>
        </is>
      </c>
      <c r="G218" t="inlineStr">
        <is>
          <t>MOTALA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46218</v>
      </c>
      <c r="F219" t="inlineStr">
        <is>
          <t>ÖSTERGÖTLANDS LÄN</t>
        </is>
      </c>
      <c r="G219" t="inlineStr">
        <is>
          <t>MOTALA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50137-2023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46218</v>
      </c>
      <c r="F220" t="inlineStr">
        <is>
          <t>ÖSTERGÖTLANDS LÄN</t>
        </is>
      </c>
      <c r="G220" t="inlineStr">
        <is>
          <t>MOTALA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46218</v>
      </c>
      <c r="F221" t="inlineStr">
        <is>
          <t>ÖSTERGÖTLANDS LÄN</t>
        </is>
      </c>
      <c r="G221" t="inlineStr">
        <is>
          <t>MOTALA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46218</v>
      </c>
      <c r="F222" t="inlineStr">
        <is>
          <t>ÖSTERGÖTLANDS LÄN</t>
        </is>
      </c>
      <c r="G222" t="inlineStr">
        <is>
          <t>MOTALA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24247-2022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44725</v>
      </c>
      <c r="E223" s="1" t="n">
        <v>46218</v>
      </c>
      <c r="F223" t="inlineStr">
        <is>
          <t>ÖSTERGÖTLANDS LÄN</t>
        </is>
      </c>
      <c r="G223" t="inlineStr">
        <is>
          <t>MOTALA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51092-2024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46218</v>
      </c>
      <c r="F224" t="inlineStr">
        <is>
          <t>ÖSTERGÖTLANDS LÄN</t>
        </is>
      </c>
      <c r="G224" t="inlineStr">
        <is>
          <t>MOTALA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46218</v>
      </c>
      <c r="F225" t="inlineStr">
        <is>
          <t>ÖSTERGÖTLANDS LÄN</t>
        </is>
      </c>
      <c r="G225" t="inlineStr">
        <is>
          <t>MOTALA</t>
        </is>
      </c>
      <c r="H225" t="inlineStr">
        <is>
          <t>Kommuner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49456-2025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46218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49147-2025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46218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46218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45427</v>
      </c>
      <c r="E229" s="1" t="n">
        <v>46218</v>
      </c>
      <c r="F229" t="inlineStr">
        <is>
          <t>ÖSTERGÖTLANDS LÄN</t>
        </is>
      </c>
      <c r="G229" t="inlineStr">
        <is>
          <t>MOTALA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46218</v>
      </c>
      <c r="F230" t="inlineStr">
        <is>
          <t>ÖSTERGÖTLANDS LÄN</t>
        </is>
      </c>
      <c r="G230" t="inlineStr">
        <is>
          <t>MOTALA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44931</v>
      </c>
      <c r="E231" s="1" t="n">
        <v>46218</v>
      </c>
      <c r="F231" t="inlineStr">
        <is>
          <t>ÖSTERGÖTLANDS LÄN</t>
        </is>
      </c>
      <c r="G231" t="inlineStr">
        <is>
          <t>MOTALA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28194-2023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45099</v>
      </c>
      <c r="E232" s="1" t="n">
        <v>46218</v>
      </c>
      <c r="F232" t="inlineStr">
        <is>
          <t>ÖSTERGÖTLANDS LÄN</t>
        </is>
      </c>
      <c r="G232" t="inlineStr">
        <is>
          <t>MOTALA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46218</v>
      </c>
      <c r="F233" t="inlineStr">
        <is>
          <t>ÖSTERGÖTLANDS LÄN</t>
        </is>
      </c>
      <c r="G233" t="inlineStr">
        <is>
          <t>MOTALA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26338-2023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46218</v>
      </c>
      <c r="F234" t="inlineStr">
        <is>
          <t>ÖSTERGÖTLANDS LÄN</t>
        </is>
      </c>
      <c r="G234" t="inlineStr">
        <is>
          <t>MOTALA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50514-2025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46218</v>
      </c>
      <c r="F235" t="inlineStr">
        <is>
          <t>ÖSTERGÖTLANDS LÄN</t>
        </is>
      </c>
      <c r="G235" t="inlineStr">
        <is>
          <t>MOTALA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50786-2025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46218</v>
      </c>
      <c r="F236" t="inlineStr">
        <is>
          <t>ÖSTERGÖTLANDS LÄN</t>
        </is>
      </c>
      <c r="G236" t="inlineStr">
        <is>
          <t>MOTALA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59570-2022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44907</v>
      </c>
      <c r="E237" s="1" t="n">
        <v>46218</v>
      </c>
      <c r="F237" t="inlineStr">
        <is>
          <t>ÖSTERGÖTLANDS LÄN</t>
        </is>
      </c>
      <c r="G237" t="inlineStr">
        <is>
          <t>MOTALA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46218</v>
      </c>
      <c r="F238" t="inlineStr">
        <is>
          <t>ÖSTERGÖTLANDS LÄN</t>
        </is>
      </c>
      <c r="G238" t="inlineStr">
        <is>
          <t>MOTALA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56325-2024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45624</v>
      </c>
      <c r="E239" s="1" t="n">
        <v>46218</v>
      </c>
      <c r="F239" t="inlineStr">
        <is>
          <t>ÖSTERGÖTLANDS LÄN</t>
        </is>
      </c>
      <c r="G239" t="inlineStr">
        <is>
          <t>MOTALA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43695-2021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44433</v>
      </c>
      <c r="E240" s="1" t="n">
        <v>46218</v>
      </c>
      <c r="F240" t="inlineStr">
        <is>
          <t>ÖSTERGÖTLANDS LÄN</t>
        </is>
      </c>
      <c r="G240" t="inlineStr">
        <is>
          <t>MOTALA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29077-2022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44750</v>
      </c>
      <c r="E241" s="1" t="n">
        <v>46218</v>
      </c>
      <c r="F241" t="inlineStr">
        <is>
          <t>ÖSTERGÖTLANDS LÄN</t>
        </is>
      </c>
      <c r="G241" t="inlineStr">
        <is>
          <t>MOTALA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37279-2024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46218</v>
      </c>
      <c r="F242" t="inlineStr">
        <is>
          <t>ÖSTERGÖTLANDS LÄN</t>
        </is>
      </c>
      <c r="G242" t="inlineStr">
        <is>
          <t>MOTALA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45440</v>
      </c>
      <c r="E243" s="1" t="n">
        <v>46218</v>
      </c>
      <c r="F243" t="inlineStr">
        <is>
          <t>ÖSTERGÖTLANDS LÄN</t>
        </is>
      </c>
      <c r="G243" t="inlineStr">
        <is>
          <t>MOTALA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65566-2021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46218</v>
      </c>
      <c r="F244" t="inlineStr">
        <is>
          <t>ÖSTERGÖTLANDS LÄN</t>
        </is>
      </c>
      <c r="G244" t="inlineStr">
        <is>
          <t>MOTALA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53781-2024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45615</v>
      </c>
      <c r="E245" s="1" t="n">
        <v>46218</v>
      </c>
      <c r="F245" t="inlineStr">
        <is>
          <t>ÖSTERGÖTLANDS LÄN</t>
        </is>
      </c>
      <c r="G245" t="inlineStr">
        <is>
          <t>MOTALA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21309-2025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45781</v>
      </c>
      <c r="E246" s="1" t="n">
        <v>46218</v>
      </c>
      <c r="F246" t="inlineStr">
        <is>
          <t>ÖSTERGÖTLANDS LÄN</t>
        </is>
      </c>
      <c r="G246" t="inlineStr">
        <is>
          <t>MOTALA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30377-2023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46218</v>
      </c>
      <c r="F247" t="inlineStr">
        <is>
          <t>ÖSTERGÖTLANDS LÄN</t>
        </is>
      </c>
      <c r="G247" t="inlineStr">
        <is>
          <t>MOTALA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8352-2025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45708</v>
      </c>
      <c r="E248" s="1" t="n">
        <v>46218</v>
      </c>
      <c r="F248" t="inlineStr">
        <is>
          <t>ÖSTERGÖTLANDS LÄN</t>
        </is>
      </c>
      <c r="G248" t="inlineStr">
        <is>
          <t>MOTALA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38660-2024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46218</v>
      </c>
      <c r="F249" t="inlineStr">
        <is>
          <t>ÖSTERGÖTLANDS LÄN</t>
        </is>
      </c>
      <c r="G249" t="inlineStr">
        <is>
          <t>MOTALA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58678-2024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46218</v>
      </c>
      <c r="F250" t="inlineStr">
        <is>
          <t>ÖSTERGÖTLANDS LÄN</t>
        </is>
      </c>
      <c r="G250" t="inlineStr">
        <is>
          <t>MOTALA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37428-2021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44398</v>
      </c>
      <c r="E251" s="1" t="n">
        <v>46218</v>
      </c>
      <c r="F251" t="inlineStr">
        <is>
          <t>ÖSTERGÖTLANDS LÄN</t>
        </is>
      </c>
      <c r="G251" t="inlineStr">
        <is>
          <t>MOTALA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58997-2022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46218</v>
      </c>
      <c r="F252" t="inlineStr">
        <is>
          <t>ÖSTERGÖTLANDS LÄN</t>
        </is>
      </c>
      <c r="G252" t="inlineStr">
        <is>
          <t>MOTALA</t>
        </is>
      </c>
      <c r="H252" t="inlineStr">
        <is>
          <t>Allmännings- och besparingsskogar</t>
        </is>
      </c>
      <c r="I252" t="n">
        <v>37.7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26606-2024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46218</v>
      </c>
      <c r="F253" t="inlineStr">
        <is>
          <t>ÖSTERGÖTLANDS LÄN</t>
        </is>
      </c>
      <c r="G253" t="inlineStr">
        <is>
          <t>MOTALA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19526-2024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46218</v>
      </c>
      <c r="F254" t="inlineStr">
        <is>
          <t>ÖSTERGÖTLANDS LÄN</t>
        </is>
      </c>
      <c r="G254" t="inlineStr">
        <is>
          <t>MOTALA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50785-2021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44459</v>
      </c>
      <c r="E255" s="1" t="n">
        <v>46218</v>
      </c>
      <c r="F255" t="inlineStr">
        <is>
          <t>ÖSTERGÖTLANDS LÄN</t>
        </is>
      </c>
      <c r="G255" t="inlineStr">
        <is>
          <t>MOTALA</t>
        </is>
      </c>
      <c r="H255" t="inlineStr">
        <is>
          <t>Kyrkan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48058-2024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46218</v>
      </c>
      <c r="F256" t="inlineStr">
        <is>
          <t>ÖSTERGÖTLANDS LÄN</t>
        </is>
      </c>
      <c r="G256" t="inlineStr">
        <is>
          <t>MOTALA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51728-2024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46218</v>
      </c>
      <c r="F257" t="inlineStr">
        <is>
          <t>ÖSTERGÖTLANDS LÄN</t>
        </is>
      </c>
      <c r="G257" t="inlineStr">
        <is>
          <t>MOTALA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49249-2023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45205</v>
      </c>
      <c r="E258" s="1" t="n">
        <v>46218</v>
      </c>
      <c r="F258" t="inlineStr">
        <is>
          <t>ÖSTERGÖTLANDS LÄN</t>
        </is>
      </c>
      <c r="G258" t="inlineStr">
        <is>
          <t>MOTALA</t>
        </is>
      </c>
      <c r="H258" t="inlineStr">
        <is>
          <t>Övriga statliga verk och myndigheter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64184-2023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46218</v>
      </c>
      <c r="F259" t="inlineStr">
        <is>
          <t>ÖSTERGÖTLANDS LÄN</t>
        </is>
      </c>
      <c r="G259" t="inlineStr">
        <is>
          <t>MOTALA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17008-2022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44676</v>
      </c>
      <c r="E260" s="1" t="n">
        <v>46218</v>
      </c>
      <c r="F260" t="inlineStr">
        <is>
          <t>ÖSTERGÖTLANDS LÄN</t>
        </is>
      </c>
      <c r="G260" t="inlineStr">
        <is>
          <t>MOTALA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51648-2023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46218</v>
      </c>
      <c r="F261" t="inlineStr">
        <is>
          <t>ÖSTERGÖTLANDS LÄN</t>
        </is>
      </c>
      <c r="G261" t="inlineStr">
        <is>
          <t>MOTALA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8724-2022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44613</v>
      </c>
      <c r="E262" s="1" t="n">
        <v>46218</v>
      </c>
      <c r="F262" t="inlineStr">
        <is>
          <t>ÖSTERGÖTLANDS LÄN</t>
        </is>
      </c>
      <c r="G262" t="inlineStr">
        <is>
          <t>MOTALA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54264-2025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46218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23757-2025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45793</v>
      </c>
      <c r="E264" s="1" t="n">
        <v>46218</v>
      </c>
      <c r="F264" t="inlineStr">
        <is>
          <t>ÖSTERGÖTLANDS LÄN</t>
        </is>
      </c>
      <c r="G264" t="inlineStr">
        <is>
          <t>MOTALA</t>
        </is>
      </c>
      <c r="H264" t="inlineStr">
        <is>
          <t>Allmännings- och besparingsskogar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45294</v>
      </c>
      <c r="E265" s="1" t="n">
        <v>46218</v>
      </c>
      <c r="F265" t="inlineStr">
        <is>
          <t>ÖSTERGÖTLANDS LÄN</t>
        </is>
      </c>
      <c r="G265" t="inlineStr">
        <is>
          <t>MOTALA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47308-2023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46218</v>
      </c>
      <c r="F266" t="inlineStr">
        <is>
          <t>ÖSTERGÖTLANDS LÄN</t>
        </is>
      </c>
      <c r="G266" t="inlineStr">
        <is>
          <t>MOTALA</t>
        </is>
      </c>
      <c r="I266" t="n">
        <v>17.6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38878-2023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46218</v>
      </c>
      <c r="F267" t="inlineStr">
        <is>
          <t>ÖSTERGÖTLANDS LÄN</t>
        </is>
      </c>
      <c r="G267" t="inlineStr">
        <is>
          <t>MOTALA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46218</v>
      </c>
      <c r="F268" t="inlineStr">
        <is>
          <t>ÖSTERGÖTLANDS LÄN</t>
        </is>
      </c>
      <c r="G268" t="inlineStr">
        <is>
          <t>MOTALA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38881-2024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46218</v>
      </c>
      <c r="F269" t="inlineStr">
        <is>
          <t>ÖSTERGÖTLANDS LÄN</t>
        </is>
      </c>
      <c r="G269" t="inlineStr">
        <is>
          <t>MOTALA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54568-2025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46218</v>
      </c>
      <c r="F270" t="inlineStr">
        <is>
          <t>ÖSTERGÖTLANDS LÄN</t>
        </is>
      </c>
      <c r="G270" t="inlineStr">
        <is>
          <t>MOTALA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57506-2024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46218</v>
      </c>
      <c r="F271" t="inlineStr">
        <is>
          <t>ÖSTERGÖTLANDS LÄN</t>
        </is>
      </c>
      <c r="G271" t="inlineStr">
        <is>
          <t>MOTALA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2028-2022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44575</v>
      </c>
      <c r="E272" s="1" t="n">
        <v>46218</v>
      </c>
      <c r="F272" t="inlineStr">
        <is>
          <t>ÖSTERGÖTLANDS LÄN</t>
        </is>
      </c>
      <c r="G272" t="inlineStr">
        <is>
          <t>MOTALA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54171-2025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45964</v>
      </c>
      <c r="E273" s="1" t="n">
        <v>46218</v>
      </c>
      <c r="F273" t="inlineStr">
        <is>
          <t>ÖSTERGÖTLANDS LÄN</t>
        </is>
      </c>
      <c r="G273" t="inlineStr">
        <is>
          <t>MOTALA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16452-2023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46218</v>
      </c>
      <c r="F274" t="inlineStr">
        <is>
          <t>ÖSTERGÖTLANDS LÄN</t>
        </is>
      </c>
      <c r="G274" t="inlineStr">
        <is>
          <t>MOTALA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60669-2024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45644</v>
      </c>
      <c r="E275" s="1" t="n">
        <v>46218</v>
      </c>
      <c r="F275" t="inlineStr">
        <is>
          <t>ÖSTERGÖTLANDS LÄN</t>
        </is>
      </c>
      <c r="G275" t="inlineStr">
        <is>
          <t>MOTALA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53438-2024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46218</v>
      </c>
      <c r="F276" t="inlineStr">
        <is>
          <t>ÖSTERGÖTLANDS LÄN</t>
        </is>
      </c>
      <c r="G276" t="inlineStr">
        <is>
          <t>MOTALA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47905-2024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45589</v>
      </c>
      <c r="E277" s="1" t="n">
        <v>46218</v>
      </c>
      <c r="F277" t="inlineStr">
        <is>
          <t>ÖSTERGÖTLANDS LÄN</t>
        </is>
      </c>
      <c r="G277" t="inlineStr">
        <is>
          <t>MOTALA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57681-2024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46218</v>
      </c>
      <c r="F278" t="inlineStr">
        <is>
          <t>ÖSTERGÖTLANDS LÄN</t>
        </is>
      </c>
      <c r="G278" t="inlineStr">
        <is>
          <t>MOTALA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6991-2023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44967</v>
      </c>
      <c r="E279" s="1" t="n">
        <v>46218</v>
      </c>
      <c r="F279" t="inlineStr">
        <is>
          <t>ÖSTERGÖTLANDS LÄN</t>
        </is>
      </c>
      <c r="G279" t="inlineStr">
        <is>
          <t>MOTALA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6996-2023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46218</v>
      </c>
      <c r="F280" t="inlineStr">
        <is>
          <t>ÖSTERGÖTLANDS LÄN</t>
        </is>
      </c>
      <c r="G280" t="inlineStr">
        <is>
          <t>MOTALA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45689</v>
      </c>
      <c r="E281" s="1" t="n">
        <v>46218</v>
      </c>
      <c r="F281" t="inlineStr">
        <is>
          <t>ÖSTERGÖTLANDS LÄN</t>
        </is>
      </c>
      <c r="G281" t="inlineStr">
        <is>
          <t>MOTALA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24468-2025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46218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15599-2024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46218</v>
      </c>
      <c r="F283" t="inlineStr">
        <is>
          <t>ÖSTERGÖTLANDS LÄN</t>
        </is>
      </c>
      <c r="G283" t="inlineStr">
        <is>
          <t>MOTALA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62078-2023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46218</v>
      </c>
      <c r="F284" t="inlineStr">
        <is>
          <t>ÖSTERGÖTLANDS LÄN</t>
        </is>
      </c>
      <c r="G284" t="inlineStr">
        <is>
          <t>MOTALA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31683-2022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44776</v>
      </c>
      <c r="E285" s="1" t="n">
        <v>46218</v>
      </c>
      <c r="F285" t="inlineStr">
        <is>
          <t>ÖSTERGÖTLANDS LÄN</t>
        </is>
      </c>
      <c r="G285" t="inlineStr">
        <is>
          <t>MOTALA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25600-2025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46218</v>
      </c>
      <c r="F286" t="inlineStr">
        <is>
          <t>ÖSTERGÖTLANDS LÄN</t>
        </is>
      </c>
      <c r="G286" t="inlineStr">
        <is>
          <t>MOTALA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50733-2024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45602</v>
      </c>
      <c r="E287" s="1" t="n">
        <v>46218</v>
      </c>
      <c r="F287" t="inlineStr">
        <is>
          <t>ÖSTERGÖTLANDS LÄN</t>
        </is>
      </c>
      <c r="G287" t="inlineStr">
        <is>
          <t>MOTALA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53454-2024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46218</v>
      </c>
      <c r="F288" t="inlineStr">
        <is>
          <t>ÖSTERGÖTLANDS LÄN</t>
        </is>
      </c>
      <c r="G288" t="inlineStr">
        <is>
          <t>MOTALA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62075-2023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46218</v>
      </c>
      <c r="F289" t="inlineStr">
        <is>
          <t>ÖSTERGÖTLANDS LÄN</t>
        </is>
      </c>
      <c r="G289" t="inlineStr">
        <is>
          <t>MOTALA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62077-2023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46218</v>
      </c>
      <c r="F290" t="inlineStr">
        <is>
          <t>ÖSTERGÖTLANDS LÄN</t>
        </is>
      </c>
      <c r="G290" t="inlineStr">
        <is>
          <t>MOTALA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62079-2023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45266</v>
      </c>
      <c r="E291" s="1" t="n">
        <v>46218</v>
      </c>
      <c r="F291" t="inlineStr">
        <is>
          <t>ÖSTERGÖTLANDS LÄN</t>
        </is>
      </c>
      <c r="G291" t="inlineStr">
        <is>
          <t>MOTALA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52302-2023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45224</v>
      </c>
      <c r="E292" s="1" t="n">
        <v>46218</v>
      </c>
      <c r="F292" t="inlineStr">
        <is>
          <t>ÖSTERGÖTLANDS LÄN</t>
        </is>
      </c>
      <c r="G292" t="inlineStr">
        <is>
          <t>MOTALA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9622-2023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46218</v>
      </c>
      <c r="F293" t="inlineStr">
        <is>
          <t>ÖSTERGÖTLANDS LÄN</t>
        </is>
      </c>
      <c r="G293" t="inlineStr">
        <is>
          <t>MOTALA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19234-2024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45428</v>
      </c>
      <c r="E294" s="1" t="n">
        <v>46218</v>
      </c>
      <c r="F294" t="inlineStr">
        <is>
          <t>ÖSTERGÖTLANDS LÄN</t>
        </is>
      </c>
      <c r="G294" t="inlineStr">
        <is>
          <t>MOTALA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46218</v>
      </c>
      <c r="F295" t="inlineStr">
        <is>
          <t>ÖSTERGÖTLANDS LÄN</t>
        </is>
      </c>
      <c r="G295" t="inlineStr">
        <is>
          <t>MOTALA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42137-2024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46218</v>
      </c>
      <c r="F296" t="inlineStr">
        <is>
          <t>ÖSTERGÖTLANDS LÄN</t>
        </is>
      </c>
      <c r="G296" t="inlineStr">
        <is>
          <t>MOTALA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46218</v>
      </c>
      <c r="F297" t="inlineStr">
        <is>
          <t>ÖSTERGÖTLANDS LÄN</t>
        </is>
      </c>
      <c r="G297" t="inlineStr">
        <is>
          <t>MOTALA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44942</v>
      </c>
      <c r="E298" s="1" t="n">
        <v>46218</v>
      </c>
      <c r="F298" t="inlineStr">
        <is>
          <t>ÖSTERGÖTLANDS LÄN</t>
        </is>
      </c>
      <c r="G298" t="inlineStr">
        <is>
          <t>MOTALA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47510-2022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44853</v>
      </c>
      <c r="E299" s="1" t="n">
        <v>46218</v>
      </c>
      <c r="F299" t="inlineStr">
        <is>
          <t>ÖSTERGÖTLANDS LÄN</t>
        </is>
      </c>
      <c r="G299" t="inlineStr">
        <is>
          <t>MOTALA</t>
        </is>
      </c>
      <c r="H299" t="inlineStr">
        <is>
          <t>Övriga statliga verk och myndigheter</t>
        </is>
      </c>
      <c r="I299" t="n">
        <v>11.3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50248-2022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44865</v>
      </c>
      <c r="E300" s="1" t="n">
        <v>46218</v>
      </c>
      <c r="F300" t="inlineStr">
        <is>
          <t>ÖSTERGÖTLANDS LÄN</t>
        </is>
      </c>
      <c r="G300" t="inlineStr">
        <is>
          <t>MOTALA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56275-2022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44890</v>
      </c>
      <c r="E301" s="1" t="n">
        <v>46218</v>
      </c>
      <c r="F301" t="inlineStr">
        <is>
          <t>ÖSTERGÖTLANDS LÄN</t>
        </is>
      </c>
      <c r="G301" t="inlineStr">
        <is>
          <t>MOTALA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64161-2023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46218</v>
      </c>
      <c r="F302" t="inlineStr">
        <is>
          <t>ÖSTERGÖTLANDS LÄN</t>
        </is>
      </c>
      <c r="G302" t="inlineStr">
        <is>
          <t>MOTALA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64175-2023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45279</v>
      </c>
      <c r="E303" s="1" t="n">
        <v>46218</v>
      </c>
      <c r="F303" t="inlineStr">
        <is>
          <t>ÖSTERGÖTLANDS LÄN</t>
        </is>
      </c>
      <c r="G303" t="inlineStr">
        <is>
          <t>MOTALA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26785-2024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45470</v>
      </c>
      <c r="E304" s="1" t="n">
        <v>46218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44942</v>
      </c>
      <c r="E305" s="1" t="n">
        <v>46218</v>
      </c>
      <c r="F305" t="inlineStr">
        <is>
          <t>ÖSTERGÖTLANDS LÄN</t>
        </is>
      </c>
      <c r="G305" t="inlineStr">
        <is>
          <t>MOTALA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46218</v>
      </c>
      <c r="F306" t="inlineStr">
        <is>
          <t>ÖSTERGÖTLANDS LÄN</t>
        </is>
      </c>
      <c r="G306" t="inlineStr">
        <is>
          <t>MOTALA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46218</v>
      </c>
      <c r="F307" t="inlineStr">
        <is>
          <t>ÖSTERGÖTLANDS LÄN</t>
        </is>
      </c>
      <c r="G307" t="inlineStr">
        <is>
          <t>MOTALA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55277-2023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45237</v>
      </c>
      <c r="E308" s="1" t="n">
        <v>46218</v>
      </c>
      <c r="F308" t="inlineStr">
        <is>
          <t>ÖSTERGÖTLANDS LÄN</t>
        </is>
      </c>
      <c r="G308" t="inlineStr">
        <is>
          <t>MOTALA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41901-2022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46218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40528-2022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44819</v>
      </c>
      <c r="E310" s="1" t="n">
        <v>46218</v>
      </c>
      <c r="F310" t="inlineStr">
        <is>
          <t>ÖSTERGÖTLANDS LÄN</t>
        </is>
      </c>
      <c r="G310" t="inlineStr">
        <is>
          <t>MOTALA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13422-2022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44645</v>
      </c>
      <c r="E311" s="1" t="n">
        <v>46218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41924-2022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44830</v>
      </c>
      <c r="E312" s="1" t="n">
        <v>46218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41925-2022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44830</v>
      </c>
      <c r="E313" s="1" t="n">
        <v>46218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41929-2022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46218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7051-2024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46218</v>
      </c>
      <c r="F315" t="inlineStr">
        <is>
          <t>ÖSTERGÖTLANDS LÄN</t>
        </is>
      </c>
      <c r="G315" t="inlineStr">
        <is>
          <t>MOTALA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45099-2023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45187</v>
      </c>
      <c r="E316" s="1" t="n">
        <v>46218</v>
      </c>
      <c r="F316" t="inlineStr">
        <is>
          <t>ÖSTERGÖTLANDS LÄN</t>
        </is>
      </c>
      <c r="G316" t="inlineStr">
        <is>
          <t>MOTALA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58385-2025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45985</v>
      </c>
      <c r="E317" s="1" t="n">
        <v>46218</v>
      </c>
      <c r="F317" t="inlineStr">
        <is>
          <t>ÖSTERGÖTLANDS LÄN</t>
        </is>
      </c>
      <c r="G317" t="inlineStr">
        <is>
          <t>MOTALA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21048-2024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45439</v>
      </c>
      <c r="E318" s="1" t="n">
        <v>46218</v>
      </c>
      <c r="F318" t="inlineStr">
        <is>
          <t>ÖSTERGÖTLANDS LÄN</t>
        </is>
      </c>
      <c r="G318" t="inlineStr">
        <is>
          <t>MOTALA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30606-2023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46218</v>
      </c>
      <c r="F319" t="inlineStr">
        <is>
          <t>ÖSTERGÖTLANDS LÄN</t>
        </is>
      </c>
      <c r="G319" t="inlineStr">
        <is>
          <t>MOTALA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44298-2023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45187</v>
      </c>
      <c r="E320" s="1" t="n">
        <v>46218</v>
      </c>
      <c r="F320" t="inlineStr">
        <is>
          <t>ÖSTERGÖTLANDS LÄN</t>
        </is>
      </c>
      <c r="G320" t="inlineStr">
        <is>
          <t>MOTALA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58331-2022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44901</v>
      </c>
      <c r="E321" s="1" t="n">
        <v>46218</v>
      </c>
      <c r="F321" t="inlineStr">
        <is>
          <t>ÖSTERGÖTLANDS LÄN</t>
        </is>
      </c>
      <c r="G321" t="inlineStr">
        <is>
          <t>MOTALA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30640-2025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46218</v>
      </c>
      <c r="F322" t="inlineStr">
        <is>
          <t>ÖSTERGÖTLANDS LÄN</t>
        </is>
      </c>
      <c r="G322" t="inlineStr">
        <is>
          <t>MOTALA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45695</v>
      </c>
      <c r="E323" s="1" t="n">
        <v>46218</v>
      </c>
      <c r="F323" t="inlineStr">
        <is>
          <t>ÖSTERGÖTLANDS LÄN</t>
        </is>
      </c>
      <c r="G323" t="inlineStr">
        <is>
          <t>MOTALA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42130-2024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45562</v>
      </c>
      <c r="E324" s="1" t="n">
        <v>46218</v>
      </c>
      <c r="F324" t="inlineStr">
        <is>
          <t>ÖSTERGÖTLANDS LÄN</t>
        </is>
      </c>
      <c r="G324" t="inlineStr">
        <is>
          <t>MOTALA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62556-2021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44503</v>
      </c>
      <c r="E325" s="1" t="n">
        <v>46218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52385-2025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46218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17148-2023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45034</v>
      </c>
      <c r="E327" s="1" t="n">
        <v>46218</v>
      </c>
      <c r="F327" t="inlineStr">
        <is>
          <t>ÖSTERGÖTLANDS LÄN</t>
        </is>
      </c>
      <c r="G327" t="inlineStr">
        <is>
          <t>MOTALA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32756-2025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46218</v>
      </c>
      <c r="F328" t="inlineStr">
        <is>
          <t>ÖSTERGÖTLANDS LÄN</t>
        </is>
      </c>
      <c r="G328" t="inlineStr">
        <is>
          <t>MOTALA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41944-2022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46218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27896-2025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45817</v>
      </c>
      <c r="E330" s="1" t="n">
        <v>46218</v>
      </c>
      <c r="F330" t="inlineStr">
        <is>
          <t>ÖSTERGÖTLANDS LÄN</t>
        </is>
      </c>
      <c r="G330" t="inlineStr">
        <is>
          <t>MOTALA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45316</v>
      </c>
      <c r="E331" s="1" t="n">
        <v>46218</v>
      </c>
      <c r="F331" t="inlineStr">
        <is>
          <t>ÖSTERGÖTLANDS LÄN</t>
        </is>
      </c>
      <c r="G331" t="inlineStr">
        <is>
          <t>MOTALA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44861-2024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45575</v>
      </c>
      <c r="E332" s="1" t="n">
        <v>46218</v>
      </c>
      <c r="F332" t="inlineStr">
        <is>
          <t>ÖSTERGÖTLANDS LÄN</t>
        </is>
      </c>
      <c r="G332" t="inlineStr">
        <is>
          <t>MOTALA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11463-2025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46218</v>
      </c>
      <c r="F333" t="inlineStr">
        <is>
          <t>ÖSTERGÖTLANDS LÄN</t>
        </is>
      </c>
      <c r="G333" t="inlineStr">
        <is>
          <t>MOTALA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21527-2023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45061</v>
      </c>
      <c r="E334" s="1" t="n">
        <v>46218</v>
      </c>
      <c r="F334" t="inlineStr">
        <is>
          <t>ÖSTERGÖTLANDS LÄN</t>
        </is>
      </c>
      <c r="G334" t="inlineStr">
        <is>
          <t>MOTALA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37618-2025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46218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32889-2025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45839</v>
      </c>
      <c r="E336" s="1" t="n">
        <v>46218</v>
      </c>
      <c r="F336" t="inlineStr">
        <is>
          <t>ÖSTERGÖTLANDS LÄN</t>
        </is>
      </c>
      <c r="G336" t="inlineStr">
        <is>
          <t>MOTALA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26350-2025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45805</v>
      </c>
      <c r="E337" s="1" t="n">
        <v>46218</v>
      </c>
      <c r="F337" t="inlineStr">
        <is>
          <t>ÖSTERGÖTLANDS LÄN</t>
        </is>
      </c>
      <c r="G337" t="inlineStr">
        <is>
          <t>MOTALA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24507-2025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45798</v>
      </c>
      <c r="E338" s="1" t="n">
        <v>46218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43368-2023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46218</v>
      </c>
      <c r="F339" t="inlineStr">
        <is>
          <t>ÖSTERGÖTLANDS LÄN</t>
        </is>
      </c>
      <c r="G339" t="inlineStr">
        <is>
          <t>MOTALA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15543-2025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45747</v>
      </c>
      <c r="E340" s="1" t="n">
        <v>46218</v>
      </c>
      <c r="F340" t="inlineStr">
        <is>
          <t>ÖSTERGÖTLANDS LÄN</t>
        </is>
      </c>
      <c r="G340" t="inlineStr">
        <is>
          <t>MOTALA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46218</v>
      </c>
      <c r="F341" t="inlineStr">
        <is>
          <t>ÖSTERGÖTLANDS LÄN</t>
        </is>
      </c>
      <c r="G341" t="inlineStr">
        <is>
          <t>MOTALA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44868-2024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45575</v>
      </c>
      <c r="E342" s="1" t="n">
        <v>46218</v>
      </c>
      <c r="F342" t="inlineStr">
        <is>
          <t>ÖSTERGÖTLANDS LÄN</t>
        </is>
      </c>
      <c r="G342" t="inlineStr">
        <is>
          <t>MOTALA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8108-2024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45351</v>
      </c>
      <c r="E343" s="1" t="n">
        <v>46218</v>
      </c>
      <c r="F343" t="inlineStr">
        <is>
          <t>ÖSTERGÖTLANDS LÄN</t>
        </is>
      </c>
      <c r="G343" t="inlineStr">
        <is>
          <t>MOTALA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27410-2024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45473</v>
      </c>
      <c r="E344" s="1" t="n">
        <v>46218</v>
      </c>
      <c r="F344" t="inlineStr">
        <is>
          <t>ÖSTERGÖTLANDS LÄN</t>
        </is>
      </c>
      <c r="G344" t="inlineStr">
        <is>
          <t>MOTALA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46218</v>
      </c>
      <c r="F345" t="inlineStr">
        <is>
          <t>ÖSTERGÖTLANDS LÄN</t>
        </is>
      </c>
      <c r="G345" t="inlineStr">
        <is>
          <t>MOTALA</t>
        </is>
      </c>
      <c r="H345" t="inlineStr">
        <is>
          <t>Övriga statliga verk och myndigheter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18915-2023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46218</v>
      </c>
      <c r="F346" t="inlineStr">
        <is>
          <t>ÖSTERGÖTLANDS LÄN</t>
        </is>
      </c>
      <c r="G346" t="inlineStr">
        <is>
          <t>MOTALA</t>
        </is>
      </c>
      <c r="H346" t="inlineStr">
        <is>
          <t>Övriga statliga verk och myndigheter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18924-2024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45427</v>
      </c>
      <c r="E347" s="1" t="n">
        <v>46218</v>
      </c>
      <c r="F347" t="inlineStr">
        <is>
          <t>ÖSTERGÖTLANDS LÄN</t>
        </is>
      </c>
      <c r="G347" t="inlineStr">
        <is>
          <t>MOTALA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21204-2024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45440</v>
      </c>
      <c r="E348" s="1" t="n">
        <v>46218</v>
      </c>
      <c r="F348" t="inlineStr">
        <is>
          <t>ÖSTERGÖTLANDS LÄN</t>
        </is>
      </c>
      <c r="G348" t="inlineStr">
        <is>
          <t>MOTALA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12274-2022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44637</v>
      </c>
      <c r="E349" s="1" t="n">
        <v>46218</v>
      </c>
      <c r="F349" t="inlineStr">
        <is>
          <t>ÖSTERGÖTLANDS LÄN</t>
        </is>
      </c>
      <c r="G349" t="inlineStr">
        <is>
          <t>MOTALA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20815-2026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46141</v>
      </c>
      <c r="E350" s="1" t="n">
        <v>46218</v>
      </c>
      <c r="F350" t="inlineStr">
        <is>
          <t>ÖSTERGÖTLANDS LÄN</t>
        </is>
      </c>
      <c r="G350" t="inlineStr">
        <is>
          <t>MOTALA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12091-2023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46218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46218</v>
      </c>
      <c r="F352" t="inlineStr">
        <is>
          <t>ÖSTERGÖTLANDS LÄN</t>
        </is>
      </c>
      <c r="G352" t="inlineStr">
        <is>
          <t>MOTALA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20833-2026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46218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20.4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7925-2022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46218</v>
      </c>
      <c r="F354" t="inlineStr">
        <is>
          <t>ÖSTERGÖTLANDS LÄN</t>
        </is>
      </c>
      <c r="G354" t="inlineStr">
        <is>
          <t>MOTALA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7927-2022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46218</v>
      </c>
      <c r="F355" t="inlineStr">
        <is>
          <t>ÖSTERGÖTLANDS LÄN</t>
        </is>
      </c>
      <c r="G355" t="inlineStr">
        <is>
          <t>MOTALA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61938-2025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46218</v>
      </c>
      <c r="F356" t="inlineStr">
        <is>
          <t>ÖSTERGÖTLANDS LÄN</t>
        </is>
      </c>
      <c r="G356" t="inlineStr">
        <is>
          <t>MOTALA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60742-2025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45998</v>
      </c>
      <c r="E357" s="1" t="n">
        <v>46218</v>
      </c>
      <c r="F357" t="inlineStr">
        <is>
          <t>ÖSTERGÖTLANDS LÄN</t>
        </is>
      </c>
      <c r="G357" t="inlineStr">
        <is>
          <t>MOTALA</t>
        </is>
      </c>
      <c r="I357" t="n">
        <v>15.9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46218</v>
      </c>
      <c r="F358" t="inlineStr">
        <is>
          <t>ÖSTERGÖTLANDS LÄN</t>
        </is>
      </c>
      <c r="G358" t="inlineStr">
        <is>
          <t>MOTALA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20832-2026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46218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47875-2021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44448</v>
      </c>
      <c r="E360" s="1" t="n">
        <v>46218</v>
      </c>
      <c r="F360" t="inlineStr">
        <is>
          <t>ÖSTERGÖTLANDS LÄN</t>
        </is>
      </c>
      <c r="G360" t="inlineStr">
        <is>
          <t>MOTALA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46218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27088-2026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46218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12258-2024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45378</v>
      </c>
      <c r="E363" s="1" t="n">
        <v>46218</v>
      </c>
      <c r="F363" t="inlineStr">
        <is>
          <t>ÖSTERGÖTLANDS LÄN</t>
        </is>
      </c>
      <c r="G363" t="inlineStr">
        <is>
          <t>MOTALA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24254-2022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46218</v>
      </c>
      <c r="F364" t="inlineStr">
        <is>
          <t>ÖSTERGÖTLANDS LÄN</t>
        </is>
      </c>
      <c r="G364" t="inlineStr">
        <is>
          <t>MOTALA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10324-2023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44987</v>
      </c>
      <c r="E365" s="1" t="n">
        <v>46218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27089-2026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46218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46218</v>
      </c>
      <c r="F367" t="inlineStr">
        <is>
          <t>ÖSTERGÖTLANDS LÄN</t>
        </is>
      </c>
      <c r="G367" t="inlineStr">
        <is>
          <t>MOTALA</t>
        </is>
      </c>
      <c r="H367" t="inlineStr">
        <is>
          <t>Allmännings- och besparingsskogar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27591-2026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46218</v>
      </c>
      <c r="F368" t="inlineStr">
        <is>
          <t>ÖSTERGÖTLANDS LÄN</t>
        </is>
      </c>
      <c r="G368" t="inlineStr">
        <is>
          <t>MOTALA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27735-2026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46218</v>
      </c>
      <c r="F369" t="inlineStr">
        <is>
          <t>ÖSTERGÖTLANDS LÄN</t>
        </is>
      </c>
      <c r="G369" t="inlineStr">
        <is>
          <t>MOTALA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46218</v>
      </c>
      <c r="F370" t="inlineStr">
        <is>
          <t>ÖSTERGÖTLANDS LÄN</t>
        </is>
      </c>
      <c r="G370" t="inlineStr">
        <is>
          <t>MOTALA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27695-2026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46218</v>
      </c>
      <c r="F371" t="inlineStr">
        <is>
          <t>ÖSTERGÖTLANDS LÄN</t>
        </is>
      </c>
      <c r="G371" t="inlineStr">
        <is>
          <t>MOTALA</t>
        </is>
      </c>
      <c r="H371" t="inlineStr">
        <is>
          <t>Allmännings- och besparingsskogar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12156-2024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45377</v>
      </c>
      <c r="E372" s="1" t="n">
        <v>46218</v>
      </c>
      <c r="F372" t="inlineStr">
        <is>
          <t>ÖSTERGÖTLANDS LÄN</t>
        </is>
      </c>
      <c r="G372" t="inlineStr">
        <is>
          <t>MOTALA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51762-2024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46218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12155-2024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45377</v>
      </c>
      <c r="E374" s="1" t="n">
        <v>46218</v>
      </c>
      <c r="F374" t="inlineStr">
        <is>
          <t>ÖSTERGÖTLANDS LÄN</t>
        </is>
      </c>
      <c r="G374" t="inlineStr">
        <is>
          <t>MOTALA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27418-2022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46218</v>
      </c>
      <c r="F375" t="inlineStr">
        <is>
          <t>ÖSTERGÖTLANDS LÄN</t>
        </is>
      </c>
      <c r="G375" t="inlineStr">
        <is>
          <t>MOTALA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57705-2023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46218</v>
      </c>
      <c r="F376" t="inlineStr">
        <is>
          <t>ÖSTERGÖTLANDS LÄN</t>
        </is>
      </c>
      <c r="G376" t="inlineStr">
        <is>
          <t>MOTALA</t>
        </is>
      </c>
      <c r="H376" t="inlineStr">
        <is>
          <t>Övriga statliga verk och myndigheter</t>
        </is>
      </c>
      <c r="I376" t="n">
        <v>25.1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27161-2025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45812</v>
      </c>
      <c r="E377" s="1" t="n">
        <v>46218</v>
      </c>
      <c r="F377" t="inlineStr">
        <is>
          <t>ÖSTERGÖTLANDS LÄN</t>
        </is>
      </c>
      <c r="G377" t="inlineStr">
        <is>
          <t>MOTALA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46218</v>
      </c>
      <c r="F378" t="inlineStr">
        <is>
          <t>ÖSTERGÖTLANDS LÄN</t>
        </is>
      </c>
      <c r="G378" t="inlineStr">
        <is>
          <t>MOTALA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57697-2023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46218</v>
      </c>
      <c r="F379" t="inlineStr">
        <is>
          <t>ÖSTERGÖTLANDS LÄN</t>
        </is>
      </c>
      <c r="G379" t="inlineStr">
        <is>
          <t>MOTALA</t>
        </is>
      </c>
      <c r="H379" t="inlineStr">
        <is>
          <t>Övriga statliga verk och myndigheter</t>
        </is>
      </c>
      <c r="I379" t="n">
        <v>24.8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63150-2023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46218</v>
      </c>
      <c r="F380" t="inlineStr">
        <is>
          <t>ÖSTERGÖTLANDS LÄN</t>
        </is>
      </c>
      <c r="G380" t="inlineStr">
        <is>
          <t>MOTALA</t>
        </is>
      </c>
      <c r="H380" t="inlineStr">
        <is>
          <t>Kyrkan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28700-2026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46218</v>
      </c>
      <c r="F381" t="inlineStr">
        <is>
          <t>ÖSTERGÖTLANDS LÄN</t>
        </is>
      </c>
      <c r="G381" t="inlineStr">
        <is>
          <t>MOTALA</t>
        </is>
      </c>
      <c r="H381" t="inlineStr">
        <is>
          <t>Allmännings- och besparingsskogar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36725-2022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46218</v>
      </c>
      <c r="F382" t="inlineStr">
        <is>
          <t>ÖSTERGÖTLANDS LÄN</t>
        </is>
      </c>
      <c r="G382" t="inlineStr">
        <is>
          <t>MOTALA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29028-2026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46218</v>
      </c>
      <c r="F383" t="inlineStr">
        <is>
          <t>ÖSTERGÖTLANDS LÄN</t>
        </is>
      </c>
      <c r="G383" t="inlineStr">
        <is>
          <t>MOTALA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28678-2026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46218</v>
      </c>
      <c r="F384" t="inlineStr">
        <is>
          <t>ÖSTERGÖTLANDS LÄN</t>
        </is>
      </c>
      <c r="G384" t="inlineStr">
        <is>
          <t>MOTALA</t>
        </is>
      </c>
      <c r="H384" t="inlineStr">
        <is>
          <t>Allmännings- och besparingsskogar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28684-2026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46218</v>
      </c>
      <c r="F385" t="inlineStr">
        <is>
          <t>ÖSTERGÖTLANDS LÄN</t>
        </is>
      </c>
      <c r="G385" t="inlineStr">
        <is>
          <t>MOTALA</t>
        </is>
      </c>
      <c r="H385" t="inlineStr">
        <is>
          <t>Allmännings- och besparingsskogar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43905-2021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44434</v>
      </c>
      <c r="E386" s="1" t="n">
        <v>46218</v>
      </c>
      <c r="F386" t="inlineStr">
        <is>
          <t>ÖSTERGÖTLANDS LÄN</t>
        </is>
      </c>
      <c r="G386" t="inlineStr">
        <is>
          <t>MOTALA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42311-2021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44427</v>
      </c>
      <c r="E387" s="1" t="n">
        <v>46218</v>
      </c>
      <c r="F387" t="inlineStr">
        <is>
          <t>ÖSTERGÖTLANDS LÄN</t>
        </is>
      </c>
      <c r="G387" t="inlineStr">
        <is>
          <t>MOTALA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28699-2026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46218</v>
      </c>
      <c r="F388" t="inlineStr">
        <is>
          <t>ÖSTERGÖTLANDS LÄN</t>
        </is>
      </c>
      <c r="G388" t="inlineStr">
        <is>
          <t>MOTALA</t>
        </is>
      </c>
      <c r="H388" t="inlineStr">
        <is>
          <t>Allmännings- och besparingsskogar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55295-2023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45237</v>
      </c>
      <c r="E389" s="1" t="n">
        <v>46218</v>
      </c>
      <c r="F389" t="inlineStr">
        <is>
          <t>ÖSTERGÖTLANDS LÄN</t>
        </is>
      </c>
      <c r="G389" t="inlineStr">
        <is>
          <t>MOTALA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29525-2024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45484</v>
      </c>
      <c r="E390" s="1" t="n">
        <v>46218</v>
      </c>
      <c r="F390" t="inlineStr">
        <is>
          <t>ÖSTERGÖTLANDS LÄN</t>
        </is>
      </c>
      <c r="G390" t="inlineStr">
        <is>
          <t>MOTALA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65561-2021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44516</v>
      </c>
      <c r="E391" s="1" t="n">
        <v>46218</v>
      </c>
      <c r="F391" t="inlineStr">
        <is>
          <t>ÖSTERGÖTLANDS LÄN</t>
        </is>
      </c>
      <c r="G391" t="inlineStr">
        <is>
          <t>MOTALA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32470-2022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44782</v>
      </c>
      <c r="E392" s="1" t="n">
        <v>46218</v>
      </c>
      <c r="F392" t="inlineStr">
        <is>
          <t>ÖSTERGÖTLANDS LÄN</t>
        </is>
      </c>
      <c r="G392" t="inlineStr">
        <is>
          <t>MOTALA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22795-2026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46158</v>
      </c>
      <c r="E393" s="1" t="n">
        <v>46218</v>
      </c>
      <c r="F393" t="inlineStr">
        <is>
          <t>ÖSTERGÖTLANDS LÄN</t>
        </is>
      </c>
      <c r="G393" t="inlineStr">
        <is>
          <t>MOTALA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22920-2026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46218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61434-2025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46218</v>
      </c>
      <c r="F395" t="inlineStr">
        <is>
          <t>ÖSTERGÖTLANDS LÄN</t>
        </is>
      </c>
      <c r="G395" t="inlineStr">
        <is>
          <t>MOTALA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44573</v>
      </c>
      <c r="E396" s="1" t="n">
        <v>46218</v>
      </c>
      <c r="F396" t="inlineStr">
        <is>
          <t>ÖSTERGÖTLANDS LÄN</t>
        </is>
      </c>
      <c r="G396" t="inlineStr">
        <is>
          <t>MOTALA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6277-2026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46218</v>
      </c>
      <c r="F397" t="inlineStr">
        <is>
          <t>ÖSTERGÖTLANDS LÄN</t>
        </is>
      </c>
      <c r="G397" t="inlineStr">
        <is>
          <t>MOTALA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22831-2026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46160</v>
      </c>
      <c r="E398" s="1" t="n">
        <v>46218</v>
      </c>
      <c r="F398" t="inlineStr">
        <is>
          <t>ÖSTERGÖTLANDS LÄN</t>
        </is>
      </c>
      <c r="G398" t="inlineStr">
        <is>
          <t>MOTALA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22921-2026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46218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29128-2026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46218</v>
      </c>
      <c r="F400" t="inlineStr">
        <is>
          <t>ÖSTERGÖTLANDS LÄN</t>
        </is>
      </c>
      <c r="G400" t="inlineStr">
        <is>
          <t>MOTALA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22940-2026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46218</v>
      </c>
      <c r="F401" t="inlineStr">
        <is>
          <t>ÖSTERGÖTLANDS LÄN</t>
        </is>
      </c>
      <c r="G401" t="inlineStr">
        <is>
          <t>MOTALA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29736-2026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46204</v>
      </c>
      <c r="E402" s="1" t="n">
        <v>46218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23430-2026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46218</v>
      </c>
      <c r="F403" t="inlineStr">
        <is>
          <t>ÖSTERGÖTLANDS LÄN</t>
        </is>
      </c>
      <c r="G403" t="inlineStr">
        <is>
          <t>MOTALA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7358-2026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46218</v>
      </c>
      <c r="F404" t="inlineStr">
        <is>
          <t>ÖSTERGÖTLANDS LÄN</t>
        </is>
      </c>
      <c r="G404" t="inlineStr">
        <is>
          <t>MOTALA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7586-2026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46061</v>
      </c>
      <c r="E405" s="1" t="n">
        <v>46218</v>
      </c>
      <c r="F405" t="inlineStr">
        <is>
          <t>ÖSTERGÖTLANDS LÄN</t>
        </is>
      </c>
      <c r="G405" t="inlineStr">
        <is>
          <t>MOTALA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8153-2026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46218</v>
      </c>
      <c r="F406" t="inlineStr">
        <is>
          <t>ÖSTERGÖTLANDS LÄN</t>
        </is>
      </c>
      <c r="G406" t="inlineStr">
        <is>
          <t>MOTALA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46218</v>
      </c>
      <c r="F407" t="inlineStr">
        <is>
          <t>ÖSTERGÖTLANDS LÄN</t>
        </is>
      </c>
      <c r="G407" t="inlineStr">
        <is>
          <t>MOTALA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8785-2026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46218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8787-2026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46218</v>
      </c>
      <c r="F409" t="inlineStr">
        <is>
          <t>ÖSTERGÖTLANDS LÄN</t>
        </is>
      </c>
      <c r="G409" t="inlineStr">
        <is>
          <t>MOTALA</t>
        </is>
      </c>
      <c r="H409" t="inlineStr">
        <is>
          <t>Sveaskog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8788-2026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46218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8791-2026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46218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8794-2026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46218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8779-2026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46218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8774-2026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46218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8776-2026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46218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8784-2026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46218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8620-2026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46218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9000-2026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46218</v>
      </c>
      <c r="F418" t="inlineStr">
        <is>
          <t>ÖSTERGÖTLANDS LÄN</t>
        </is>
      </c>
      <c r="G418" t="inlineStr">
        <is>
          <t>MOTALA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9002-2026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46218</v>
      </c>
      <c r="F419" t="inlineStr">
        <is>
          <t>ÖSTERGÖTLANDS LÄN</t>
        </is>
      </c>
      <c r="G419" t="inlineStr">
        <is>
          <t>MOTALA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8781-2026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46066</v>
      </c>
      <c r="E420" s="1" t="n">
        <v>46218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8783-2026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46218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30115-2026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46218</v>
      </c>
      <c r="F422" t="inlineStr">
        <is>
          <t>ÖSTERGÖTLANDS LÄN</t>
        </is>
      </c>
      <c r="G422" t="inlineStr">
        <is>
          <t>MOTALA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9960-2026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46218</v>
      </c>
      <c r="F423" t="inlineStr">
        <is>
          <t>ÖSTERGÖTLANDS LÄN</t>
        </is>
      </c>
      <c r="G423" t="inlineStr">
        <is>
          <t>MOTALA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23839-2026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46218</v>
      </c>
      <c r="F424" t="inlineStr">
        <is>
          <t>ÖSTERGÖTLANDS LÄN</t>
        </is>
      </c>
      <c r="G424" t="inlineStr">
        <is>
          <t>MOTALA</t>
        </is>
      </c>
      <c r="H424" t="inlineStr">
        <is>
          <t>Holmen skog AB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10510-2026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46077</v>
      </c>
      <c r="E425" s="1" t="n">
        <v>46218</v>
      </c>
      <c r="F425" t="inlineStr">
        <is>
          <t>ÖSTERGÖTLANDS LÄN</t>
        </is>
      </c>
      <c r="G425" t="inlineStr">
        <is>
          <t>MOTALA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11319-2026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46218</v>
      </c>
      <c r="F426" t="inlineStr">
        <is>
          <t>ÖSTERGÖTLANDS LÄN</t>
        </is>
      </c>
      <c r="G426" t="inlineStr">
        <is>
          <t>MOTALA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11317-2026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46080</v>
      </c>
      <c r="E427" s="1" t="n">
        <v>46218</v>
      </c>
      <c r="F427" t="inlineStr">
        <is>
          <t>ÖSTERGÖTLANDS LÄN</t>
        </is>
      </c>
      <c r="G427" t="inlineStr">
        <is>
          <t>MOTALA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11315-2026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46218</v>
      </c>
      <c r="F428" t="inlineStr">
        <is>
          <t>ÖSTERGÖTLANDS LÄN</t>
        </is>
      </c>
      <c r="G428" t="inlineStr">
        <is>
          <t>MOTALA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11318-2026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46080</v>
      </c>
      <c r="E429" s="1" t="n">
        <v>46218</v>
      </c>
      <c r="F429" t="inlineStr">
        <is>
          <t>ÖSTERGÖTLANDS LÄN</t>
        </is>
      </c>
      <c r="G429" t="inlineStr">
        <is>
          <t>MOTALA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11320-2026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46080</v>
      </c>
      <c r="E430" s="1" t="n">
        <v>46218</v>
      </c>
      <c r="F430" t="inlineStr">
        <is>
          <t>ÖSTERGÖTLANDS LÄN</t>
        </is>
      </c>
      <c r="G430" t="inlineStr">
        <is>
          <t>MOTALA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46218</v>
      </c>
      <c r="F431" t="inlineStr">
        <is>
          <t>ÖSTERGÖTLANDS LÄN</t>
        </is>
      </c>
      <c r="G431" t="inlineStr">
        <is>
          <t>MOTALA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12642-2026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46218</v>
      </c>
      <c r="F432" t="inlineStr">
        <is>
          <t>ÖSTERGÖTLANDS LÄN</t>
        </is>
      </c>
      <c r="G432" t="inlineStr">
        <is>
          <t>MOTALA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12627-2026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46218</v>
      </c>
      <c r="F433" t="inlineStr">
        <is>
          <t>ÖSTERGÖTLANDS LÄN</t>
        </is>
      </c>
      <c r="G433" t="inlineStr">
        <is>
          <t>MOTALA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46092</v>
      </c>
      <c r="E434" s="1" t="n">
        <v>46218</v>
      </c>
      <c r="F434" t="inlineStr">
        <is>
          <t>ÖSTERGÖTLANDS LÄN</t>
        </is>
      </c>
      <c r="G434" t="inlineStr">
        <is>
          <t>MOTALA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12968-2026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46092</v>
      </c>
      <c r="E435" s="1" t="n">
        <v>46218</v>
      </c>
      <c r="F435" t="inlineStr">
        <is>
          <t>ÖSTERGÖTLANDS LÄN</t>
        </is>
      </c>
      <c r="G435" t="inlineStr">
        <is>
          <t>MOTALA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12989-2026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46218</v>
      </c>
      <c r="F436" t="inlineStr">
        <is>
          <t>ÖSTERGÖTLANDS LÄN</t>
        </is>
      </c>
      <c r="G436" t="inlineStr">
        <is>
          <t>MOTALA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13303-2026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46218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13304-2026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46218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13298-2026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46218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46218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24829-2026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46218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24831-2026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46218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24830-2026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46218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24832-2026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46218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15057-2026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46218</v>
      </c>
      <c r="F445" t="inlineStr">
        <is>
          <t>ÖSTERGÖTLANDS LÄN</t>
        </is>
      </c>
      <c r="G445" t="inlineStr">
        <is>
          <t>MOTALA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14568-2026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46218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15551-2026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46106</v>
      </c>
      <c r="E447" s="1" t="n">
        <v>46218</v>
      </c>
      <c r="F447" t="inlineStr">
        <is>
          <t>ÖSTERGÖTLANDS LÄN</t>
        </is>
      </c>
      <c r="G447" t="inlineStr">
        <is>
          <t>MOTALA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15077-2026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46218</v>
      </c>
      <c r="F448" t="inlineStr">
        <is>
          <t>ÖSTERGÖTLANDS LÄN</t>
        </is>
      </c>
      <c r="G448" t="inlineStr">
        <is>
          <t>MOTALA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15076-2026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46218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15331-2026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46218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17741-2026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46218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17937-2026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46218</v>
      </c>
      <c r="F452" t="inlineStr">
        <is>
          <t>ÖSTERGÖTLANDS LÄN</t>
        </is>
      </c>
      <c r="G452" t="inlineStr">
        <is>
          <t>MOTALA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19108-2026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46218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19110-2026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46218</v>
      </c>
      <c r="F454" t="inlineStr">
        <is>
          <t>ÖSTERGÖTLANDS LÄN</t>
        </is>
      </c>
      <c r="G454" t="inlineStr">
        <is>
          <t>MOTALA</t>
        </is>
      </c>
      <c r="H454" t="inlineStr">
        <is>
          <t>Sveaskog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3262-2024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45526</v>
      </c>
      <c r="E455" s="1" t="n">
        <v>46218</v>
      </c>
      <c r="F455" t="inlineStr">
        <is>
          <t>ÖSTERGÖTLANDS LÄN</t>
        </is>
      </c>
      <c r="G455" t="inlineStr">
        <is>
          <t>MOTALA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3481-2023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45205</v>
      </c>
      <c r="E456" s="1" t="n">
        <v>46218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2511-2024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45474</v>
      </c>
      <c r="E457" s="1" t="n">
        <v>46218</v>
      </c>
      <c r="F457" t="inlineStr">
        <is>
          <t>ÖSTERGÖTLANDS LÄN</t>
        </is>
      </c>
      <c r="G457" t="inlineStr">
        <is>
          <t>MOTALA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2535-2024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45475</v>
      </c>
      <c r="E458" s="1" t="n">
        <v>46218</v>
      </c>
      <c r="F458" t="inlineStr">
        <is>
          <t>ÖSTERGÖTLANDS LÄN</t>
        </is>
      </c>
      <c r="G458" t="inlineStr">
        <is>
          <t>MOTALA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1264-2025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45763</v>
      </c>
      <c r="E459" s="1" t="n">
        <v>46218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1475-2025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45786</v>
      </c>
      <c r="E460" s="1" t="n">
        <v>46218</v>
      </c>
      <c r="F460" t="inlineStr">
        <is>
          <t>ÖSTERGÖTLANDS LÄN</t>
        </is>
      </c>
      <c r="G460" t="inlineStr">
        <is>
          <t>MOTALA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1584-2025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45796</v>
      </c>
      <c r="E461" s="1" t="n">
        <v>46218</v>
      </c>
      <c r="F461" t="inlineStr">
        <is>
          <t>ÖSTERGÖTLANDS LÄN</t>
        </is>
      </c>
      <c r="G461" t="inlineStr">
        <is>
          <t>MOTALA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421-2026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46071</v>
      </c>
      <c r="E462" s="1" t="n">
        <v>46218</v>
      </c>
      <c r="F462" t="inlineStr">
        <is>
          <t>ÖSTERGÖTLANDS LÄN</t>
        </is>
      </c>
      <c r="G462" t="inlineStr">
        <is>
          <t>MOTALA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523-2026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46077</v>
      </c>
      <c r="E463" s="1" t="n">
        <v>46218</v>
      </c>
      <c r="F463" t="inlineStr">
        <is>
          <t>ÖSTERGÖTLANDS LÄN</t>
        </is>
      </c>
      <c r="G463" t="inlineStr">
        <is>
          <t>MOTALA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>
      <c r="A464" t="inlineStr">
        <is>
          <t>S 820-2026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46104</v>
      </c>
      <c r="E464" s="1" t="n">
        <v>46218</v>
      </c>
      <c r="F464" t="inlineStr">
        <is>
          <t>ÖSTERGÖTLANDS LÄN</t>
        </is>
      </c>
      <c r="G464" t="inlineStr">
        <is>
          <t>MOTALA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2026-07-15T01:24:16Z</dcterms:created>
  <dcterms:modified xmlns:dcterms="http://purl.org/dc/terms/" xmlns:xsi="http://www.w3.org/2001/XMLSchema-instance" xsi:type="dcterms:W3CDTF">2026-07-15T01:24:17Z</dcterms:modified>
</cp:coreProperties>
</file>