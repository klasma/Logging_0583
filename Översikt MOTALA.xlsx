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46112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46112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46112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46112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46112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35797-2025</t>
        </is>
      </c>
      <c r="B7" s="1" t="n">
        <v>45861.36827546296</v>
      </c>
      <c r="C7" s="1" t="n">
        <v>46112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Grönpyrola
Zontaggsvamp</t>
        </is>
      </c>
      <c r="S7">
        <f>HYPERLINK("https://klasma.github.io/Logging_0583/artfynd/A 35797-2025 artfynd.xlsx", "A 35797-2025")</f>
        <v/>
      </c>
      <c r="T7">
        <f>HYPERLINK("https://klasma.github.io/Logging_0583/kartor/A 35797-2025 karta.png", "A 35797-2025")</f>
        <v/>
      </c>
      <c r="V7">
        <f>HYPERLINK("https://klasma.github.io/Logging_0583/klagomål/A 35797-2025 FSC-klagomål.docx", "A 35797-2025")</f>
        <v/>
      </c>
      <c r="W7">
        <f>HYPERLINK("https://klasma.github.io/Logging_0583/klagomålsmail/A 35797-2025 FSC-klagomål mail.docx", "A 35797-2025")</f>
        <v/>
      </c>
      <c r="X7">
        <f>HYPERLINK("https://klasma.github.io/Logging_0583/tillsyn/A 35797-2025 tillsynsbegäran.docx", "A 35797-2025")</f>
        <v/>
      </c>
      <c r="Y7">
        <f>HYPERLINK("https://klasma.github.io/Logging_0583/tillsynsmail/A 35797-2025 tillsynsbegäran mail.docx", "A 35797-2025")</f>
        <v/>
      </c>
      <c r="Z7">
        <f>HYPERLINK("https://klasma.github.io/Logging_0583/fåglar/A 35797-2025 prioriterade fågelarter.docx", "A 35797-2025")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46112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  <c r="Z8">
        <f>HYPERLINK("https://klasma.github.io/Logging_0583/fåglar/A 3721-2023 prioriterade fågelarter.docx", "A 3721-2023")</f>
        <v/>
      </c>
    </row>
    <row r="9" ht="15" customHeight="1">
      <c r="A9" t="inlineStr">
        <is>
          <t>A 52894-2025</t>
        </is>
      </c>
      <c r="B9" s="1" t="n">
        <v>45957.58099537037</v>
      </c>
      <c r="C9" s="1" t="n">
        <v>46112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Mindre märgborre</t>
        </is>
      </c>
      <c r="S9">
        <f>HYPERLINK("https://klasma.github.io/Logging_0583/artfynd/A 52894-2025 artfynd.xlsx", "A 52894-2025")</f>
        <v/>
      </c>
      <c r="T9">
        <f>HYPERLINK("https://klasma.github.io/Logging_0583/kartor/A 52894-2025 karta.png", "A 52894-2025")</f>
        <v/>
      </c>
      <c r="U9">
        <f>HYPERLINK("https://klasma.github.io/Logging_0583/knärot/A 52894-2025 karta knärot.png", "A 52894-2025")</f>
        <v/>
      </c>
      <c r="V9">
        <f>HYPERLINK("https://klasma.github.io/Logging_0583/klagomål/A 52894-2025 FSC-klagomål.docx", "A 52894-2025")</f>
        <v/>
      </c>
      <c r="W9">
        <f>HYPERLINK("https://klasma.github.io/Logging_0583/klagomålsmail/A 52894-2025 FSC-klagomål mail.docx", "A 52894-2025")</f>
        <v/>
      </c>
      <c r="X9">
        <f>HYPERLINK("https://klasma.github.io/Logging_0583/tillsyn/A 52894-2025 tillsynsbegäran.docx", "A 52894-2025")</f>
        <v/>
      </c>
      <c r="Y9">
        <f>HYPERLINK("https://klasma.github.io/Logging_0583/tillsynsmail/A 52894-2025 tillsynsbegäran mail.docx", "A 52894-2025")</f>
        <v/>
      </c>
      <c r="Z9">
        <f>HYPERLINK("https://klasma.github.io/Logging_0583/fåglar/A 52894-2025 prioriterade fågelarter.docx", "A 52894-2025")</f>
        <v/>
      </c>
    </row>
    <row r="10" ht="15" customHeight="1">
      <c r="A10" t="inlineStr">
        <is>
          <t>A 63217-2025</t>
        </is>
      </c>
      <c r="B10" s="1" t="n">
        <v>46010.48835648148</v>
      </c>
      <c r="C10" s="1" t="n">
        <v>46112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Gropticka
Svart taggsvamp agg.
Dropptaggsvamp</t>
        </is>
      </c>
      <c r="S10">
        <f>HYPERLINK("https://klasma.github.io/Logging_0583/artfynd/A 63217-2025 artfynd.xlsx", "A 63217-2025")</f>
        <v/>
      </c>
      <c r="T10">
        <f>HYPERLINK("https://klasma.github.io/Logging_0583/kartor/A 63217-2025 karta.png", "A 63217-2025")</f>
        <v/>
      </c>
      <c r="V10">
        <f>HYPERLINK("https://klasma.github.io/Logging_0583/klagomål/A 63217-2025 FSC-klagomål.docx", "A 63217-2025")</f>
        <v/>
      </c>
      <c r="W10">
        <f>HYPERLINK("https://klasma.github.io/Logging_0583/klagomålsmail/A 63217-2025 FSC-klagomål mail.docx", "A 63217-2025")</f>
        <v/>
      </c>
      <c r="X10">
        <f>HYPERLINK("https://klasma.github.io/Logging_0583/tillsyn/A 63217-2025 tillsynsbegäran.docx", "A 63217-2025")</f>
        <v/>
      </c>
      <c r="Y10">
        <f>HYPERLINK("https://klasma.github.io/Logging_0583/tillsynsmail/A 63217-2025 tillsynsbegäran mail.docx", "A 63217-2025")</f>
        <v/>
      </c>
    </row>
    <row r="11" ht="15" customHeight="1">
      <c r="A11" t="inlineStr">
        <is>
          <t>A 18894-2023</t>
        </is>
      </c>
      <c r="B11" s="1" t="n">
        <v>45044</v>
      </c>
      <c r="C11" s="1" t="n">
        <v>46112</v>
      </c>
      <c r="D11" t="inlineStr">
        <is>
          <t>ÖSTERGÖTLANDS LÄN</t>
        </is>
      </c>
      <c r="E11" t="inlineStr">
        <is>
          <t>MOTALA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Ask</t>
        </is>
      </c>
      <c r="S11">
        <f>HYPERLINK("https://klasma.github.io/Logging_0583/artfynd/A 18894-2023 artfynd.xlsx", "A 18894-2023")</f>
        <v/>
      </c>
      <c r="T11">
        <f>HYPERLINK("https://klasma.github.io/Logging_0583/kartor/A 18894-2023 karta.png", "A 18894-2023")</f>
        <v/>
      </c>
      <c r="V11">
        <f>HYPERLINK("https://klasma.github.io/Logging_0583/klagomål/A 18894-2023 FSC-klagomål.docx", "A 18894-2023")</f>
        <v/>
      </c>
      <c r="W11">
        <f>HYPERLINK("https://klasma.github.io/Logging_0583/klagomålsmail/A 18894-2023 FSC-klagomål mail.docx", "A 18894-2023")</f>
        <v/>
      </c>
      <c r="X11">
        <f>HYPERLINK("https://klasma.github.io/Logging_0583/tillsyn/A 18894-2023 tillsynsbegäran.docx", "A 18894-2023")</f>
        <v/>
      </c>
      <c r="Y11">
        <f>HYPERLINK("https://klasma.github.io/Logging_0583/tillsynsmail/A 18894-2023 tillsynsbegäran mail.docx", "A 18894-2023")</f>
        <v/>
      </c>
    </row>
    <row r="12" ht="15" customHeight="1">
      <c r="A12" t="inlineStr">
        <is>
          <t>A 2153-2026</t>
        </is>
      </c>
      <c r="B12" s="1" t="n">
        <v>46036.42396990741</v>
      </c>
      <c r="C12" s="1" t="n">
        <v>46112</v>
      </c>
      <c r="D12" t="inlineStr">
        <is>
          <t>ÖSTERGÖTLANDS LÄN</t>
        </is>
      </c>
      <c r="E12" t="inlineStr">
        <is>
          <t>MOTALA</t>
        </is>
      </c>
      <c r="G12" t="n">
        <v>2.8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Mattlummer</t>
        </is>
      </c>
      <c r="S12">
        <f>HYPERLINK("https://klasma.github.io/Logging_0583/artfynd/A 2153-2026 artfynd.xlsx", "A 2153-2026")</f>
        <v/>
      </c>
      <c r="T12">
        <f>HYPERLINK("https://klasma.github.io/Logging_0583/kartor/A 2153-2026 karta.png", "A 2153-2026")</f>
        <v/>
      </c>
      <c r="V12">
        <f>HYPERLINK("https://klasma.github.io/Logging_0583/klagomål/A 2153-2026 FSC-klagomål.docx", "A 2153-2026")</f>
        <v/>
      </c>
      <c r="W12">
        <f>HYPERLINK("https://klasma.github.io/Logging_0583/klagomålsmail/A 2153-2026 FSC-klagomål mail.docx", "A 2153-2026")</f>
        <v/>
      </c>
      <c r="X12">
        <f>HYPERLINK("https://klasma.github.io/Logging_0583/tillsyn/A 2153-2026 tillsynsbegäran.docx", "A 2153-2026")</f>
        <v/>
      </c>
      <c r="Y12">
        <f>HYPERLINK("https://klasma.github.io/Logging_0583/tillsynsmail/A 2153-2026 tillsynsbegäran mail.docx", "A 2153-2026")</f>
        <v/>
      </c>
    </row>
    <row r="13" ht="15" customHeight="1">
      <c r="A13" t="inlineStr">
        <is>
          <t>A 1931-2025</t>
        </is>
      </c>
      <c r="B13" s="1" t="n">
        <v>45671.74186342592</v>
      </c>
      <c r="C13" s="1" t="n">
        <v>46112</v>
      </c>
      <c r="D13" t="inlineStr">
        <is>
          <t>ÖSTERGÖTLANDS LÄN</t>
        </is>
      </c>
      <c r="E13" t="inlineStr">
        <is>
          <t>MOTALA</t>
        </is>
      </c>
      <c r="F13" t="inlineStr">
        <is>
          <t>Allmännings- och besparingsskogar</t>
        </is>
      </c>
      <c r="G13" t="n">
        <v>17.4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Grovticka
Nattviol</t>
        </is>
      </c>
      <c r="S13">
        <f>HYPERLINK("https://klasma.github.io/Logging_0583/artfynd/A 1931-2025 artfynd.xlsx", "A 1931-2025")</f>
        <v/>
      </c>
      <c r="T13">
        <f>HYPERLINK("https://klasma.github.io/Logging_0583/kartor/A 1931-2025 karta.png", "A 1931-2025")</f>
        <v/>
      </c>
      <c r="V13">
        <f>HYPERLINK("https://klasma.github.io/Logging_0583/klagomål/A 1931-2025 FSC-klagomål.docx", "A 1931-2025")</f>
        <v/>
      </c>
      <c r="W13">
        <f>HYPERLINK("https://klasma.github.io/Logging_0583/klagomålsmail/A 1931-2025 FSC-klagomål mail.docx", "A 1931-2025")</f>
        <v/>
      </c>
      <c r="X13">
        <f>HYPERLINK("https://klasma.github.io/Logging_0583/tillsyn/A 1931-2025 tillsynsbegäran.docx", "A 1931-2025")</f>
        <v/>
      </c>
      <c r="Y13">
        <f>HYPERLINK("https://klasma.github.io/Logging_0583/tillsynsmail/A 1931-2025 tillsynsbegäran mail.docx", "A 1931-2025")</f>
        <v/>
      </c>
    </row>
    <row r="14" ht="15" customHeight="1">
      <c r="A14" t="inlineStr">
        <is>
          <t>A 44938-2025</t>
        </is>
      </c>
      <c r="B14" s="1" t="n">
        <v>45918.58255787037</v>
      </c>
      <c r="C14" s="1" t="n">
        <v>46112</v>
      </c>
      <c r="D14" t="inlineStr">
        <is>
          <t>ÖSTERGÖTLANDS LÄN</t>
        </is>
      </c>
      <c r="E14" t="inlineStr">
        <is>
          <t>MOTALA</t>
        </is>
      </c>
      <c r="G14" t="n">
        <v>2.1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Revlummer</t>
        </is>
      </c>
      <c r="S14">
        <f>HYPERLINK("https://klasma.github.io/Logging_0583/artfynd/A 44938-2025 artfynd.xlsx", "A 44938-2025")</f>
        <v/>
      </c>
      <c r="T14">
        <f>HYPERLINK("https://klasma.github.io/Logging_0583/kartor/A 44938-2025 karta.png", "A 44938-2025")</f>
        <v/>
      </c>
      <c r="V14">
        <f>HYPERLINK("https://klasma.github.io/Logging_0583/klagomål/A 44938-2025 FSC-klagomål.docx", "A 44938-2025")</f>
        <v/>
      </c>
      <c r="W14">
        <f>HYPERLINK("https://klasma.github.io/Logging_0583/klagomålsmail/A 44938-2025 FSC-klagomål mail.docx", "A 44938-2025")</f>
        <v/>
      </c>
      <c r="X14">
        <f>HYPERLINK("https://klasma.github.io/Logging_0583/tillsyn/A 44938-2025 tillsynsbegäran.docx", "A 44938-2025")</f>
        <v/>
      </c>
      <c r="Y14">
        <f>HYPERLINK("https://klasma.github.io/Logging_0583/tillsynsmail/A 44938-2025 tillsynsbegäran mail.docx", "A 44938-2025")</f>
        <v/>
      </c>
    </row>
    <row r="15" ht="15" customHeight="1">
      <c r="A15" t="inlineStr">
        <is>
          <t>A 53201-2025</t>
        </is>
      </c>
      <c r="B15" s="1" t="n">
        <v>45958.57498842593</v>
      </c>
      <c r="C15" s="1" t="n">
        <v>46112</v>
      </c>
      <c r="D15" t="inlineStr">
        <is>
          <t>ÖSTERGÖTLANDS LÄN</t>
        </is>
      </c>
      <c r="E15" t="inlineStr">
        <is>
          <t>MOTALA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Stallört
Kärrknipprot</t>
        </is>
      </c>
      <c r="S15">
        <f>HYPERLINK("https://klasma.github.io/Logging_0583/artfynd/A 53201-2025 artfynd.xlsx", "A 53201-2025")</f>
        <v/>
      </c>
      <c r="T15">
        <f>HYPERLINK("https://klasma.github.io/Logging_0583/kartor/A 53201-2025 karta.png", "A 53201-2025")</f>
        <v/>
      </c>
      <c r="V15">
        <f>HYPERLINK("https://klasma.github.io/Logging_0583/klagomål/A 53201-2025 FSC-klagomål.docx", "A 53201-2025")</f>
        <v/>
      </c>
      <c r="W15">
        <f>HYPERLINK("https://klasma.github.io/Logging_0583/klagomålsmail/A 53201-2025 FSC-klagomål mail.docx", "A 53201-2025")</f>
        <v/>
      </c>
      <c r="X15">
        <f>HYPERLINK("https://klasma.github.io/Logging_0583/tillsyn/A 53201-2025 tillsynsbegäran.docx", "A 53201-2025")</f>
        <v/>
      </c>
      <c r="Y15">
        <f>HYPERLINK("https://klasma.github.io/Logging_0583/tillsynsmail/A 53201-2025 tillsynsbegäran mail.docx", "A 53201-2025")</f>
        <v/>
      </c>
    </row>
    <row r="16" ht="15" customHeight="1">
      <c r="A16" t="inlineStr">
        <is>
          <t>A 49665-2024</t>
        </is>
      </c>
      <c r="B16" s="1" t="n">
        <v>45596.64424768519</v>
      </c>
      <c r="C16" s="1" t="n">
        <v>46112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45597.58802083333</v>
      </c>
      <c r="C17" s="1" t="n">
        <v>46112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46112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47654-2025</t>
        </is>
      </c>
      <c r="B19" s="1" t="n">
        <v>45931.54203703703</v>
      </c>
      <c r="C19" s="1" t="n">
        <v>46112</v>
      </c>
      <c r="D19" t="inlineStr">
        <is>
          <t>ÖSTERGÖTLANDS LÄN</t>
        </is>
      </c>
      <c r="E19" t="inlineStr">
        <is>
          <t>MOTALA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HYPERLINK("https://klasma.github.io/Logging_0583/artfynd/A 47654-2025 artfynd.xlsx", "A 47654-2025")</f>
        <v/>
      </c>
      <c r="T19">
        <f>HYPERLINK("https://klasma.github.io/Logging_0583/kartor/A 47654-2025 karta.png", "A 47654-2025")</f>
        <v/>
      </c>
      <c r="V19">
        <f>HYPERLINK("https://klasma.github.io/Logging_0583/klagomål/A 47654-2025 FSC-klagomål.docx", "A 47654-2025")</f>
        <v/>
      </c>
      <c r="W19">
        <f>HYPERLINK("https://klasma.github.io/Logging_0583/klagomålsmail/A 47654-2025 FSC-klagomål mail.docx", "A 47654-2025")</f>
        <v/>
      </c>
      <c r="X19">
        <f>HYPERLINK("https://klasma.github.io/Logging_0583/tillsyn/A 47654-2025 tillsynsbegäran.docx", "A 47654-2025")</f>
        <v/>
      </c>
      <c r="Y19">
        <f>HYPERLINK("https://klasma.github.io/Logging_0583/tillsynsmail/A 47654-2025 tillsynsbegäran mail.docx", "A 47654-2025")</f>
        <v/>
      </c>
    </row>
    <row r="20" ht="15" customHeight="1">
      <c r="A20" t="inlineStr">
        <is>
          <t>A 47332-2025</t>
        </is>
      </c>
      <c r="B20" s="1" t="n">
        <v>45930.56317129629</v>
      </c>
      <c r="C20" s="1" t="n">
        <v>46112</v>
      </c>
      <c r="D20" t="inlineStr">
        <is>
          <t>ÖSTERGÖTLANDS LÄN</t>
        </is>
      </c>
      <c r="E20" t="inlineStr">
        <is>
          <t>MOTALA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HYPERLINK("https://klasma.github.io/Logging_0583/artfynd/A 47332-2025 artfynd.xlsx", "A 47332-2025")</f>
        <v/>
      </c>
      <c r="T20">
        <f>HYPERLINK("https://klasma.github.io/Logging_0583/kartor/A 47332-2025 karta.png", "A 47332-2025")</f>
        <v/>
      </c>
      <c r="V20">
        <f>HYPERLINK("https://klasma.github.io/Logging_0583/klagomål/A 47332-2025 FSC-klagomål.docx", "A 47332-2025")</f>
        <v/>
      </c>
      <c r="W20">
        <f>HYPERLINK("https://klasma.github.io/Logging_0583/klagomålsmail/A 47332-2025 FSC-klagomål mail.docx", "A 47332-2025")</f>
        <v/>
      </c>
      <c r="X20">
        <f>HYPERLINK("https://klasma.github.io/Logging_0583/tillsyn/A 47332-2025 tillsynsbegäran.docx", "A 47332-2025")</f>
        <v/>
      </c>
      <c r="Y20">
        <f>HYPERLINK("https://klasma.github.io/Logging_0583/tillsynsmail/A 47332-2025 tillsynsbegäran mail.docx", "A 47332-2025")</f>
        <v/>
      </c>
    </row>
    <row r="21" ht="15" customHeight="1">
      <c r="A21" t="inlineStr">
        <is>
          <t>A 18729-2025</t>
        </is>
      </c>
      <c r="B21" s="1" t="n">
        <v>45763.67392361111</v>
      </c>
      <c r="C21" s="1" t="n">
        <v>46112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HYPERLINK("https://klasma.github.io/Logging_0583/artfynd/A 18729-2025 artfynd.xlsx", "A 18729-2025")</f>
        <v/>
      </c>
      <c r="T21">
        <f>HYPERLINK("https://klasma.github.io/Logging_0583/kartor/A 18729-2025 karta.png", "A 18729-2025")</f>
        <v/>
      </c>
      <c r="V21">
        <f>HYPERLINK("https://klasma.github.io/Logging_0583/klagomål/A 18729-2025 FSC-klagomål.docx", "A 18729-2025")</f>
        <v/>
      </c>
      <c r="W21">
        <f>HYPERLINK("https://klasma.github.io/Logging_0583/klagomålsmail/A 18729-2025 FSC-klagomål mail.docx", "A 18729-2025")</f>
        <v/>
      </c>
      <c r="X21">
        <f>HYPERLINK("https://klasma.github.io/Logging_0583/tillsyn/A 18729-2025 tillsynsbegäran.docx", "A 18729-2025")</f>
        <v/>
      </c>
      <c r="Y21">
        <f>HYPERLINK("https://klasma.github.io/Logging_0583/tillsynsmail/A 18729-2025 tillsynsbegäran mail.docx", "A 18729-2025")</f>
        <v/>
      </c>
    </row>
    <row r="22" ht="15" customHeight="1">
      <c r="A22" t="inlineStr">
        <is>
          <t>A 52523-2022</t>
        </is>
      </c>
      <c r="B22" s="1" t="n">
        <v>44874</v>
      </c>
      <c r="C22" s="1" t="n">
        <v>46112</v>
      </c>
      <c r="D22" t="inlineStr">
        <is>
          <t>ÖSTERGÖTLANDS LÄN</t>
        </is>
      </c>
      <c r="E22" t="inlineStr">
        <is>
          <t>MOTALA</t>
        </is>
      </c>
      <c r="F22" t="inlineStr">
        <is>
          <t>Kyrkan</t>
        </is>
      </c>
      <c r="G22" t="n">
        <v>6.7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HYPERLINK("https://klasma.github.io/Logging_0583/artfynd/A 52523-2022 artfynd.xlsx", "A 52523-2022")</f>
        <v/>
      </c>
      <c r="T22">
        <f>HYPERLINK("https://klasma.github.io/Logging_0583/kartor/A 52523-2022 karta.png", "A 52523-2022")</f>
        <v/>
      </c>
      <c r="V22">
        <f>HYPERLINK("https://klasma.github.io/Logging_0583/klagomål/A 52523-2022 FSC-klagomål.docx", "A 52523-2022")</f>
        <v/>
      </c>
      <c r="W22">
        <f>HYPERLINK("https://klasma.github.io/Logging_0583/klagomålsmail/A 52523-2022 FSC-klagomål mail.docx", "A 52523-2022")</f>
        <v/>
      </c>
      <c r="X22">
        <f>HYPERLINK("https://klasma.github.io/Logging_0583/tillsyn/A 52523-2022 tillsynsbegäran.docx", "A 52523-2022")</f>
        <v/>
      </c>
      <c r="Y22">
        <f>HYPERLINK("https://klasma.github.io/Logging_0583/tillsynsmail/A 52523-2022 tillsynsbegäran mail.docx", "A 52523-2022")</f>
        <v/>
      </c>
    </row>
    <row r="23" ht="15" customHeight="1">
      <c r="A23" t="inlineStr">
        <is>
          <t>A 30955-2023</t>
        </is>
      </c>
      <c r="B23" s="1" t="n">
        <v>45103</v>
      </c>
      <c r="C23" s="1" t="n">
        <v>46112</v>
      </c>
      <c r="D23" t="inlineStr">
        <is>
          <t>ÖSTERGÖTLANDS LÄN</t>
        </is>
      </c>
      <c r="E23" t="inlineStr">
        <is>
          <t>MOTALA</t>
        </is>
      </c>
      <c r="F23" t="inlineStr">
        <is>
          <t>Övriga statliga verk och myndigheter</t>
        </is>
      </c>
      <c r="G23" t="n">
        <v>7.5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HYPERLINK("https://klasma.github.io/Logging_0583/artfynd/A 30955-2023 artfynd.xlsx", "A 30955-2023")</f>
        <v/>
      </c>
      <c r="T23">
        <f>HYPERLINK("https://klasma.github.io/Logging_0583/kartor/A 30955-2023 karta.png", "A 30955-2023")</f>
        <v/>
      </c>
      <c r="V23">
        <f>HYPERLINK("https://klasma.github.io/Logging_0583/klagomål/A 30955-2023 FSC-klagomål.docx", "A 30955-2023")</f>
        <v/>
      </c>
      <c r="W23">
        <f>HYPERLINK("https://klasma.github.io/Logging_0583/klagomålsmail/A 30955-2023 FSC-klagomål mail.docx", "A 30955-2023")</f>
        <v/>
      </c>
      <c r="X23">
        <f>HYPERLINK("https://klasma.github.io/Logging_0583/tillsyn/A 30955-2023 tillsynsbegäran.docx", "A 30955-2023")</f>
        <v/>
      </c>
      <c r="Y23">
        <f>HYPERLINK("https://klasma.github.io/Logging_0583/tillsynsmail/A 30955-2023 tillsynsbegäran mail.docx", "A 30955-2023")</f>
        <v/>
      </c>
      <c r="Z23">
        <f>HYPERLINK("https://klasma.github.io/Logging_0583/fåglar/A 30955-2023 prioriterade fågelarter.docx", "A 30955-2023")</f>
        <v/>
      </c>
    </row>
    <row r="24" ht="15" customHeight="1">
      <c r="A24" t="inlineStr">
        <is>
          <t>A 24686-2024</t>
        </is>
      </c>
      <c r="B24" s="1" t="n">
        <v>45460.60101851852</v>
      </c>
      <c r="C24" s="1" t="n">
        <v>46112</v>
      </c>
      <c r="D24" t="inlineStr">
        <is>
          <t>ÖSTERGÖTLANDS LÄN</t>
        </is>
      </c>
      <c r="E24" t="inlineStr">
        <is>
          <t>MOTALA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HYPERLINK("https://klasma.github.io/Logging_0583/artfynd/A 24686-2024 artfynd.xlsx", "A 24686-2024")</f>
        <v/>
      </c>
      <c r="T24">
        <f>HYPERLINK("https://klasma.github.io/Logging_0583/kartor/A 24686-2024 karta.png", "A 24686-2024")</f>
        <v/>
      </c>
      <c r="V24">
        <f>HYPERLINK("https://klasma.github.io/Logging_0583/klagomål/A 24686-2024 FSC-klagomål.docx", "A 24686-2024")</f>
        <v/>
      </c>
      <c r="W24">
        <f>HYPERLINK("https://klasma.github.io/Logging_0583/klagomålsmail/A 24686-2024 FSC-klagomål mail.docx", "A 24686-2024")</f>
        <v/>
      </c>
      <c r="X24">
        <f>HYPERLINK("https://klasma.github.io/Logging_0583/tillsyn/A 24686-2024 tillsynsbegäran.docx", "A 24686-2024")</f>
        <v/>
      </c>
      <c r="Y24">
        <f>HYPERLINK("https://klasma.github.io/Logging_0583/tillsynsmail/A 24686-2024 tillsynsbegäran mail.docx", "A 24686-2024")</f>
        <v/>
      </c>
    </row>
    <row r="25" ht="15" customHeight="1">
      <c r="A25" t="inlineStr">
        <is>
          <t>A 24554-2025</t>
        </is>
      </c>
      <c r="B25" s="1" t="n">
        <v>45798.44936342593</v>
      </c>
      <c r="C25" s="1" t="n">
        <v>46112</v>
      </c>
      <c r="D25" t="inlineStr">
        <is>
          <t>ÖSTERGÖTLANDS LÄN</t>
        </is>
      </c>
      <c r="E25" t="inlineStr">
        <is>
          <t>MOTALA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HYPERLINK("https://klasma.github.io/Logging_0583/artfynd/A 24554-2025 artfynd.xlsx", "A 24554-2025")</f>
        <v/>
      </c>
      <c r="T25">
        <f>HYPERLINK("https://klasma.github.io/Logging_0583/kartor/A 24554-2025 karta.png", "A 24554-2025")</f>
        <v/>
      </c>
      <c r="V25">
        <f>HYPERLINK("https://klasma.github.io/Logging_0583/klagomål/A 24554-2025 FSC-klagomål.docx", "A 24554-2025")</f>
        <v/>
      </c>
      <c r="W25">
        <f>HYPERLINK("https://klasma.github.io/Logging_0583/klagomålsmail/A 24554-2025 FSC-klagomål mail.docx", "A 24554-2025")</f>
        <v/>
      </c>
      <c r="X25">
        <f>HYPERLINK("https://klasma.github.io/Logging_0583/tillsyn/A 24554-2025 tillsynsbegäran.docx", "A 24554-2025")</f>
        <v/>
      </c>
      <c r="Y25">
        <f>HYPERLINK("https://klasma.github.io/Logging_0583/tillsynsmail/A 24554-2025 tillsynsbegäran mail.docx", "A 24554-2025")</f>
        <v/>
      </c>
    </row>
    <row r="26" ht="15" customHeight="1">
      <c r="A26" t="inlineStr">
        <is>
          <t>A 1211-2022</t>
        </is>
      </c>
      <c r="B26" s="1" t="n">
        <v>44572.54736111111</v>
      </c>
      <c r="C26" s="1" t="n">
        <v>46112</v>
      </c>
      <c r="D26" t="inlineStr">
        <is>
          <t>ÖSTERGÖTLANDS LÄN</t>
        </is>
      </c>
      <c r="E26" t="inlineStr">
        <is>
          <t>MOTALA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53574-2021</t>
        </is>
      </c>
      <c r="B27" s="1" t="n">
        <v>44468</v>
      </c>
      <c r="C27" s="1" t="n">
        <v>46112</v>
      </c>
      <c r="D27" t="inlineStr">
        <is>
          <t>ÖSTERGÖTLANDS LÄN</t>
        </is>
      </c>
      <c r="E27" t="inlineStr">
        <is>
          <t>MOTALA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57981-2021</t>
        </is>
      </c>
      <c r="B28" s="1" t="n">
        <v>44487</v>
      </c>
      <c r="C28" s="1" t="n">
        <v>46112</v>
      </c>
      <c r="D28" t="inlineStr">
        <is>
          <t>ÖSTERGÖTLANDS LÄN</t>
        </is>
      </c>
      <c r="E28" t="inlineStr">
        <is>
          <t>MOTALA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66195-2021</t>
        </is>
      </c>
      <c r="B29" s="1" t="n">
        <v>44518.32188657407</v>
      </c>
      <c r="C29" s="1" t="n">
        <v>46112</v>
      </c>
      <c r="D29" t="inlineStr">
        <is>
          <t>ÖSTERGÖTLANDS LÄN</t>
        </is>
      </c>
      <c r="E29" t="inlineStr">
        <is>
          <t>MOTALA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54087-2022</t>
        </is>
      </c>
      <c r="B30" s="1" t="n">
        <v>44881.53428240741</v>
      </c>
      <c r="C30" s="1" t="n">
        <v>46112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41644-2021</t>
        </is>
      </c>
      <c r="B31" s="1" t="n">
        <v>44425</v>
      </c>
      <c r="C31" s="1" t="n">
        <v>46112</v>
      </c>
      <c r="D31" t="inlineStr">
        <is>
          <t>ÖSTERGÖTLANDS LÄN</t>
        </is>
      </c>
      <c r="E31" t="inlineStr">
        <is>
          <t>MOTALA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3967-2022</t>
        </is>
      </c>
      <c r="B32" s="1" t="n">
        <v>44586</v>
      </c>
      <c r="C32" s="1" t="n">
        <v>46112</v>
      </c>
      <c r="D32" t="inlineStr">
        <is>
          <t>ÖSTERGÖTLANDS LÄN</t>
        </is>
      </c>
      <c r="E32" t="inlineStr">
        <is>
          <t>MOTALA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6993-2022</t>
        </is>
      </c>
      <c r="B33" s="1" t="n">
        <v>44603</v>
      </c>
      <c r="C33" s="1" t="n">
        <v>46112</v>
      </c>
      <c r="D33" t="inlineStr">
        <is>
          <t>ÖSTERGÖTLANDS LÄN</t>
        </is>
      </c>
      <c r="E33" t="inlineStr">
        <is>
          <t>MOTALA</t>
        </is>
      </c>
      <c r="F33" t="inlineStr">
        <is>
          <t>Övriga statliga verk och myndigheter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40776-2022</t>
        </is>
      </c>
      <c r="B34" s="1" t="n">
        <v>44824</v>
      </c>
      <c r="C34" s="1" t="n">
        <v>46112</v>
      </c>
      <c r="D34" t="inlineStr">
        <is>
          <t>ÖSTERGÖTLANDS LÄN</t>
        </is>
      </c>
      <c r="E34" t="inlineStr">
        <is>
          <t>MOTALA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46112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46112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27214-2022</t>
        </is>
      </c>
      <c r="B37" s="1" t="n">
        <v>44741.63288194445</v>
      </c>
      <c r="C37" s="1" t="n">
        <v>46112</v>
      </c>
      <c r="D37" t="inlineStr">
        <is>
          <t>ÖSTERGÖTLANDS LÄN</t>
        </is>
      </c>
      <c r="E37" t="inlineStr">
        <is>
          <t>MOTALA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39072-2022</t>
        </is>
      </c>
      <c r="B38" s="1" t="n">
        <v>44816</v>
      </c>
      <c r="C38" s="1" t="n">
        <v>46112</v>
      </c>
      <c r="D38" t="inlineStr">
        <is>
          <t>ÖSTERGÖTLANDS LÄN</t>
        </is>
      </c>
      <c r="E38" t="inlineStr">
        <is>
          <t>MOTALA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51653-2021</t>
        </is>
      </c>
      <c r="B39" s="1" t="n">
        <v>44462.50556712963</v>
      </c>
      <c r="C39" s="1" t="n">
        <v>46112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11051-2022</t>
        </is>
      </c>
      <c r="B40" s="1" t="n">
        <v>44628</v>
      </c>
      <c r="C40" s="1" t="n">
        <v>46112</v>
      </c>
      <c r="D40" t="inlineStr">
        <is>
          <t>ÖSTERGÖTLANDS LÄN</t>
        </is>
      </c>
      <c r="E40" t="inlineStr">
        <is>
          <t>MOTALA</t>
        </is>
      </c>
      <c r="F40" t="inlineStr">
        <is>
          <t>Allmännings- och besparingsskogar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19229-2022</t>
        </is>
      </c>
      <c r="B41" s="1" t="n">
        <v>44692</v>
      </c>
      <c r="C41" s="1" t="n">
        <v>46112</v>
      </c>
      <c r="D41" t="inlineStr">
        <is>
          <t>ÖSTERGÖTLANDS LÄN</t>
        </is>
      </c>
      <c r="E41" t="inlineStr">
        <is>
          <t>MOTALA</t>
        </is>
      </c>
      <c r="F41" t="inlineStr">
        <is>
          <t>Övriga statliga verk och myndigheter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46112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46112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39630-2021</t>
        </is>
      </c>
      <c r="B44" s="1" t="n">
        <v>44413</v>
      </c>
      <c r="C44" s="1" t="n">
        <v>46112</v>
      </c>
      <c r="D44" t="inlineStr">
        <is>
          <t>ÖSTERGÖTLANDS LÄN</t>
        </is>
      </c>
      <c r="E44" t="inlineStr">
        <is>
          <t>MOTALA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29189-2021</t>
        </is>
      </c>
      <c r="B45" s="1" t="n">
        <v>44358</v>
      </c>
      <c r="C45" s="1" t="n">
        <v>46112</v>
      </c>
      <c r="D45" t="inlineStr">
        <is>
          <t>ÖSTERGÖTLANDS LÄN</t>
        </is>
      </c>
      <c r="E45" t="inlineStr">
        <is>
          <t>MOTALA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43832-2022</t>
        </is>
      </c>
      <c r="B46" s="1" t="n">
        <v>44837</v>
      </c>
      <c r="C46" s="1" t="n">
        <v>46112</v>
      </c>
      <c r="D46" t="inlineStr">
        <is>
          <t>ÖSTERGÖTLANDS LÄN</t>
        </is>
      </c>
      <c r="E46" t="inlineStr">
        <is>
          <t>MOTALA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23603-2021</t>
        </is>
      </c>
      <c r="B47" s="1" t="n">
        <v>44334</v>
      </c>
      <c r="C47" s="1" t="n">
        <v>46112</v>
      </c>
      <c r="D47" t="inlineStr">
        <is>
          <t>ÖSTERGÖTLANDS LÄN</t>
        </is>
      </c>
      <c r="E47" t="inlineStr">
        <is>
          <t>MOTALA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62548-2021</t>
        </is>
      </c>
      <c r="B48" s="1" t="n">
        <v>44503</v>
      </c>
      <c r="C48" s="1" t="n">
        <v>46112</v>
      </c>
      <c r="D48" t="inlineStr">
        <is>
          <t>ÖSTERGÖTLANDS LÄN</t>
        </is>
      </c>
      <c r="E48" t="inlineStr">
        <is>
          <t>MOTALA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39494-2021</t>
        </is>
      </c>
      <c r="B49" s="1" t="n">
        <v>44414</v>
      </c>
      <c r="C49" s="1" t="n">
        <v>46112</v>
      </c>
      <c r="D49" t="inlineStr">
        <is>
          <t>ÖSTERGÖTLANDS LÄN</t>
        </is>
      </c>
      <c r="E49" t="inlineStr">
        <is>
          <t>MOTALA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41787-2021</t>
        </is>
      </c>
      <c r="B50" s="1" t="n">
        <v>44425.66618055556</v>
      </c>
      <c r="C50" s="1" t="n">
        <v>46112</v>
      </c>
      <c r="D50" t="inlineStr">
        <is>
          <t>ÖSTERGÖTLANDS LÄN</t>
        </is>
      </c>
      <c r="E50" t="inlineStr">
        <is>
          <t>MOTALA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41926-2022</t>
        </is>
      </c>
      <c r="B51" s="1" t="n">
        <v>44830.3705787037</v>
      </c>
      <c r="C51" s="1" t="n">
        <v>46112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49150-2022</t>
        </is>
      </c>
      <c r="B52" s="1" t="n">
        <v>44860.805625</v>
      </c>
      <c r="C52" s="1" t="n">
        <v>46112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17071-2022</t>
        </is>
      </c>
      <c r="B53" s="1" t="n">
        <v>44677</v>
      </c>
      <c r="C53" s="1" t="n">
        <v>46112</v>
      </c>
      <c r="D53" t="inlineStr">
        <is>
          <t>ÖSTERGÖTLANDS LÄN</t>
        </is>
      </c>
      <c r="E53" t="inlineStr">
        <is>
          <t>MOTALA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40538-2022</t>
        </is>
      </c>
      <c r="B54" s="1" t="n">
        <v>44819</v>
      </c>
      <c r="C54" s="1" t="n">
        <v>46112</v>
      </c>
      <c r="D54" t="inlineStr">
        <is>
          <t>ÖSTERGÖTLANDS LÄN</t>
        </is>
      </c>
      <c r="E54" t="inlineStr">
        <is>
          <t>MOTALA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22882-2021</t>
        </is>
      </c>
      <c r="B55" s="1" t="n">
        <v>44328.46116898148</v>
      </c>
      <c r="C55" s="1" t="n">
        <v>46112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22884-2021</t>
        </is>
      </c>
      <c r="B56" s="1" t="n">
        <v>44328.46275462963</v>
      </c>
      <c r="C56" s="1" t="n">
        <v>46112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72847-2021</t>
        </is>
      </c>
      <c r="B57" s="1" t="n">
        <v>44547</v>
      </c>
      <c r="C57" s="1" t="n">
        <v>46112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42974-2021</t>
        </is>
      </c>
      <c r="B58" s="1" t="n">
        <v>44431</v>
      </c>
      <c r="C58" s="1" t="n">
        <v>46112</v>
      </c>
      <c r="D58" t="inlineStr">
        <is>
          <t>ÖSTERGÖTLANDS LÄN</t>
        </is>
      </c>
      <c r="E58" t="inlineStr">
        <is>
          <t>MOTALA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48799-2021</t>
        </is>
      </c>
      <c r="B59" s="1" t="n">
        <v>44452.69899305556</v>
      </c>
      <c r="C59" s="1" t="n">
        <v>46112</v>
      </c>
      <c r="D59" t="inlineStr">
        <is>
          <t>ÖSTERGÖTLANDS LÄN</t>
        </is>
      </c>
      <c r="E59" t="inlineStr">
        <is>
          <t>MOTALA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23886-2022</t>
        </is>
      </c>
      <c r="B60" s="1" t="n">
        <v>44722.57311342593</v>
      </c>
      <c r="C60" s="1" t="n">
        <v>46112</v>
      </c>
      <c r="D60" t="inlineStr">
        <is>
          <t>ÖSTERGÖTLANDS LÄN</t>
        </is>
      </c>
      <c r="E60" t="inlineStr">
        <is>
          <t>MOTALA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48931-2021</t>
        </is>
      </c>
      <c r="B61" s="1" t="n">
        <v>44452</v>
      </c>
      <c r="C61" s="1" t="n">
        <v>46112</v>
      </c>
      <c r="D61" t="inlineStr">
        <is>
          <t>ÖSTERGÖTLANDS LÄN</t>
        </is>
      </c>
      <c r="E61" t="inlineStr">
        <is>
          <t>MOTALA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46210-2022</t>
        </is>
      </c>
      <c r="B62" s="1" t="n">
        <v>44846</v>
      </c>
      <c r="C62" s="1" t="n">
        <v>46112</v>
      </c>
      <c r="D62" t="inlineStr">
        <is>
          <t>ÖSTERGÖTLANDS LÄN</t>
        </is>
      </c>
      <c r="E62" t="inlineStr">
        <is>
          <t>MOTALA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40815-2021</t>
        </is>
      </c>
      <c r="B63" s="1" t="n">
        <v>44421</v>
      </c>
      <c r="C63" s="1" t="n">
        <v>46112</v>
      </c>
      <c r="D63" t="inlineStr">
        <is>
          <t>ÖSTERGÖTLANDS LÄN</t>
        </is>
      </c>
      <c r="E63" t="inlineStr">
        <is>
          <t>MOTALA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4145-2022</t>
        </is>
      </c>
      <c r="B64" s="1" t="n">
        <v>44588.48373842592</v>
      </c>
      <c r="C64" s="1" t="n">
        <v>46112</v>
      </c>
      <c r="D64" t="inlineStr">
        <is>
          <t>ÖSTERGÖTLANDS LÄN</t>
        </is>
      </c>
      <c r="E64" t="inlineStr">
        <is>
          <t>MOTALA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6793-2022</t>
        </is>
      </c>
      <c r="B65" s="1" t="n">
        <v>44602.56170138889</v>
      </c>
      <c r="C65" s="1" t="n">
        <v>46112</v>
      </c>
      <c r="D65" t="inlineStr">
        <is>
          <t>ÖSTERGÖTLANDS LÄN</t>
        </is>
      </c>
      <c r="E65" t="inlineStr">
        <is>
          <t>MOTALA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10678-2022</t>
        </is>
      </c>
      <c r="B66" s="1" t="n">
        <v>44624.65938657407</v>
      </c>
      <c r="C66" s="1" t="n">
        <v>46112</v>
      </c>
      <c r="D66" t="inlineStr">
        <is>
          <t>ÖSTERGÖTLANDS LÄN</t>
        </is>
      </c>
      <c r="E66" t="inlineStr">
        <is>
          <t>MOTALA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26546-2021</t>
        </is>
      </c>
      <c r="B67" s="1" t="n">
        <v>44348</v>
      </c>
      <c r="C67" s="1" t="n">
        <v>46112</v>
      </c>
      <c r="D67" t="inlineStr">
        <is>
          <t>ÖSTERGÖTLANDS LÄN</t>
        </is>
      </c>
      <c r="E67" t="inlineStr">
        <is>
          <t>MOTALA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28809-2021</t>
        </is>
      </c>
      <c r="B68" s="1" t="n">
        <v>44357.60618055556</v>
      </c>
      <c r="C68" s="1" t="n">
        <v>46112</v>
      </c>
      <c r="D68" t="inlineStr">
        <is>
          <t>ÖSTERGÖTLANDS LÄN</t>
        </is>
      </c>
      <c r="E68" t="inlineStr">
        <is>
          <t>MOTALA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28466-2021</t>
        </is>
      </c>
      <c r="B69" s="1" t="n">
        <v>44356</v>
      </c>
      <c r="C69" s="1" t="n">
        <v>46112</v>
      </c>
      <c r="D69" t="inlineStr">
        <is>
          <t>ÖSTERGÖTLANDS LÄN</t>
        </is>
      </c>
      <c r="E69" t="inlineStr">
        <is>
          <t>MOTALA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66190-2021</t>
        </is>
      </c>
      <c r="B70" s="1" t="n">
        <v>44518.30800925926</v>
      </c>
      <c r="C70" s="1" t="n">
        <v>46112</v>
      </c>
      <c r="D70" t="inlineStr">
        <is>
          <t>ÖSTERGÖTLANDS LÄN</t>
        </is>
      </c>
      <c r="E70" t="inlineStr">
        <is>
          <t>MOTALA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60286-2021</t>
        </is>
      </c>
      <c r="B71" s="1" t="n">
        <v>44495</v>
      </c>
      <c r="C71" s="1" t="n">
        <v>46112</v>
      </c>
      <c r="D71" t="inlineStr">
        <is>
          <t>ÖSTERGÖTLANDS LÄN</t>
        </is>
      </c>
      <c r="E71" t="inlineStr">
        <is>
          <t>MOTALA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261-2022</t>
        </is>
      </c>
      <c r="B72" s="1" t="n">
        <v>44565</v>
      </c>
      <c r="C72" s="1" t="n">
        <v>46112</v>
      </c>
      <c r="D72" t="inlineStr">
        <is>
          <t>ÖSTERGÖTLANDS LÄN</t>
        </is>
      </c>
      <c r="E72" t="inlineStr">
        <is>
          <t>MOTALA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66194-2021</t>
        </is>
      </c>
      <c r="B73" s="1" t="n">
        <v>44518</v>
      </c>
      <c r="C73" s="1" t="n">
        <v>46112</v>
      </c>
      <c r="D73" t="inlineStr">
        <is>
          <t>ÖSTERGÖTLANDS LÄN</t>
        </is>
      </c>
      <c r="E73" t="inlineStr">
        <is>
          <t>MOTALA</t>
        </is>
      </c>
      <c r="G73" t="n">
        <v>13.6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9708-2022</t>
        </is>
      </c>
      <c r="B74" s="1" t="n">
        <v>44617</v>
      </c>
      <c r="C74" s="1" t="n">
        <v>46112</v>
      </c>
      <c r="D74" t="inlineStr">
        <is>
          <t>ÖSTERGÖTLANDS LÄN</t>
        </is>
      </c>
      <c r="E74" t="inlineStr">
        <is>
          <t>MOTALA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13420-2022</t>
        </is>
      </c>
      <c r="B75" s="1" t="n">
        <v>44645</v>
      </c>
      <c r="C75" s="1" t="n">
        <v>46112</v>
      </c>
      <c r="D75" t="inlineStr">
        <is>
          <t>ÖSTERGÖTLANDS LÄN</t>
        </is>
      </c>
      <c r="E75" t="inlineStr">
        <is>
          <t>MOTALA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39620-2021</t>
        </is>
      </c>
      <c r="B76" s="1" t="n">
        <v>44413</v>
      </c>
      <c r="C76" s="1" t="n">
        <v>46112</v>
      </c>
      <c r="D76" t="inlineStr">
        <is>
          <t>ÖSTERGÖTLANDS LÄN</t>
        </is>
      </c>
      <c r="E76" t="inlineStr">
        <is>
          <t>MOTALA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41911-2022</t>
        </is>
      </c>
      <c r="B77" s="1" t="n">
        <v>44830.36393518518</v>
      </c>
      <c r="C77" s="1" t="n">
        <v>46112</v>
      </c>
      <c r="D77" t="inlineStr">
        <is>
          <t>ÖSTERGÖTLANDS LÄN</t>
        </is>
      </c>
      <c r="E77" t="inlineStr">
        <is>
          <t>MOTALA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42001-2022</t>
        </is>
      </c>
      <c r="B78" s="1" t="n">
        <v>44827</v>
      </c>
      <c r="C78" s="1" t="n">
        <v>46112</v>
      </c>
      <c r="D78" t="inlineStr">
        <is>
          <t>ÖSTERGÖTLANDS LÄN</t>
        </is>
      </c>
      <c r="E78" t="inlineStr">
        <is>
          <t>MOTALA</t>
        </is>
      </c>
      <c r="F78" t="inlineStr">
        <is>
          <t>Övriga statliga verk och myndigheter</t>
        </is>
      </c>
      <c r="G78" t="n">
        <v>17.5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46958-2021</t>
        </is>
      </c>
      <c r="B79" s="1" t="n">
        <v>44446</v>
      </c>
      <c r="C79" s="1" t="n">
        <v>46112</v>
      </c>
      <c r="D79" t="inlineStr">
        <is>
          <t>ÖSTERGÖTLANDS LÄN</t>
        </is>
      </c>
      <c r="E79" t="inlineStr">
        <is>
          <t>MOTALA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7318-2022</t>
        </is>
      </c>
      <c r="B80" s="1" t="n">
        <v>44606</v>
      </c>
      <c r="C80" s="1" t="n">
        <v>46112</v>
      </c>
      <c r="D80" t="inlineStr">
        <is>
          <t>ÖSTERGÖTLANDS LÄN</t>
        </is>
      </c>
      <c r="E80" t="inlineStr">
        <is>
          <t>MOTALA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26755-2022</t>
        </is>
      </c>
      <c r="B81" s="1" t="n">
        <v>44740.24939814815</v>
      </c>
      <c r="C81" s="1" t="n">
        <v>46112</v>
      </c>
      <c r="D81" t="inlineStr">
        <is>
          <t>ÖSTERGÖTLANDS LÄN</t>
        </is>
      </c>
      <c r="E81" t="inlineStr">
        <is>
          <t>MOTALA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1651-2022</t>
        </is>
      </c>
      <c r="B82" s="1" t="n">
        <v>44573</v>
      </c>
      <c r="C82" s="1" t="n">
        <v>46112</v>
      </c>
      <c r="D82" t="inlineStr">
        <is>
          <t>ÖSTERGÖTLANDS LÄN</t>
        </is>
      </c>
      <c r="E82" t="inlineStr">
        <is>
          <t>MOTALA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55119-2021</t>
        </is>
      </c>
      <c r="B83" s="1" t="n">
        <v>44474</v>
      </c>
      <c r="C83" s="1" t="n">
        <v>46112</v>
      </c>
      <c r="D83" t="inlineStr">
        <is>
          <t>ÖSTERGÖTLANDS LÄN</t>
        </is>
      </c>
      <c r="E83" t="inlineStr">
        <is>
          <t>MOTALA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49787-2021</t>
        </is>
      </c>
      <c r="B84" s="1" t="n">
        <v>44455</v>
      </c>
      <c r="C84" s="1" t="n">
        <v>46112</v>
      </c>
      <c r="D84" t="inlineStr">
        <is>
          <t>ÖSTERGÖTLANDS LÄN</t>
        </is>
      </c>
      <c r="E84" t="inlineStr">
        <is>
          <t>MOTALA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987-2022</t>
        </is>
      </c>
      <c r="B85" s="1" t="n">
        <v>44571</v>
      </c>
      <c r="C85" s="1" t="n">
        <v>46112</v>
      </c>
      <c r="D85" t="inlineStr">
        <is>
          <t>ÖSTERGÖTLANDS LÄN</t>
        </is>
      </c>
      <c r="E85" t="inlineStr">
        <is>
          <t>MOTALA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37496-2022</t>
        </is>
      </c>
      <c r="B86" s="1" t="n">
        <v>44809</v>
      </c>
      <c r="C86" s="1" t="n">
        <v>46112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28504-2021</t>
        </is>
      </c>
      <c r="B87" s="1" t="n">
        <v>44356</v>
      </c>
      <c r="C87" s="1" t="n">
        <v>46112</v>
      </c>
      <c r="D87" t="inlineStr">
        <is>
          <t>ÖSTERGÖTLANDS LÄN</t>
        </is>
      </c>
      <c r="E87" t="inlineStr">
        <is>
          <t>MOTALA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62549-2021</t>
        </is>
      </c>
      <c r="B88" s="1" t="n">
        <v>44503</v>
      </c>
      <c r="C88" s="1" t="n">
        <v>46112</v>
      </c>
      <c r="D88" t="inlineStr">
        <is>
          <t>ÖSTERGÖTLANDS LÄN</t>
        </is>
      </c>
      <c r="E88" t="inlineStr">
        <is>
          <t>MOTALA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35663-2022</t>
        </is>
      </c>
      <c r="B89" s="1" t="n">
        <v>44799</v>
      </c>
      <c r="C89" s="1" t="n">
        <v>46112</v>
      </c>
      <c r="D89" t="inlineStr">
        <is>
          <t>ÖSTERGÖTLANDS LÄN</t>
        </is>
      </c>
      <c r="E89" t="inlineStr">
        <is>
          <t>MOTALA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43381-2022</t>
        </is>
      </c>
      <c r="B90" s="1" t="n">
        <v>44834</v>
      </c>
      <c r="C90" s="1" t="n">
        <v>46112</v>
      </c>
      <c r="D90" t="inlineStr">
        <is>
          <t>ÖSTERGÖTLANDS LÄN</t>
        </is>
      </c>
      <c r="E90" t="inlineStr">
        <is>
          <t>MOTALA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1644-2022</t>
        </is>
      </c>
      <c r="B91" s="1" t="n">
        <v>44574.31305555555</v>
      </c>
      <c r="C91" s="1" t="n">
        <v>46112</v>
      </c>
      <c r="D91" t="inlineStr">
        <is>
          <t>ÖSTERGÖTLANDS LÄN</t>
        </is>
      </c>
      <c r="E91" t="inlineStr">
        <is>
          <t>MOTALA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1646-2022</t>
        </is>
      </c>
      <c r="B92" s="1" t="n">
        <v>44574.31621527778</v>
      </c>
      <c r="C92" s="1" t="n">
        <v>46112</v>
      </c>
      <c r="D92" t="inlineStr">
        <is>
          <t>ÖSTERGÖTLANDS LÄN</t>
        </is>
      </c>
      <c r="E92" t="inlineStr">
        <is>
          <t>MOTALA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35314-2021</t>
        </is>
      </c>
      <c r="B93" s="1" t="n">
        <v>44384</v>
      </c>
      <c r="C93" s="1" t="n">
        <v>46112</v>
      </c>
      <c r="D93" t="inlineStr">
        <is>
          <t>ÖSTERGÖTLANDS LÄN</t>
        </is>
      </c>
      <c r="E93" t="inlineStr">
        <is>
          <t>MOTALA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67748-2021</t>
        </is>
      </c>
      <c r="B94" s="1" t="n">
        <v>44525</v>
      </c>
      <c r="C94" s="1" t="n">
        <v>46112</v>
      </c>
      <c r="D94" t="inlineStr">
        <is>
          <t>ÖSTERGÖTLANDS LÄN</t>
        </is>
      </c>
      <c r="E94" t="inlineStr">
        <is>
          <t>MOTALA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46858-2022</t>
        </is>
      </c>
      <c r="B95" s="1" t="n">
        <v>44851</v>
      </c>
      <c r="C95" s="1" t="n">
        <v>46112</v>
      </c>
      <c r="D95" t="inlineStr">
        <is>
          <t>ÖSTERGÖTLANDS LÄN</t>
        </is>
      </c>
      <c r="E95" t="inlineStr">
        <is>
          <t>MOTALA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7710-2022</t>
        </is>
      </c>
      <c r="B96" s="1" t="n">
        <v>44608</v>
      </c>
      <c r="C96" s="1" t="n">
        <v>46112</v>
      </c>
      <c r="D96" t="inlineStr">
        <is>
          <t>ÖSTERGÖTLANDS LÄN</t>
        </is>
      </c>
      <c r="E96" t="inlineStr">
        <is>
          <t>MOTALA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41931-2022</t>
        </is>
      </c>
      <c r="B97" s="1" t="n">
        <v>44830.37378472222</v>
      </c>
      <c r="C97" s="1" t="n">
        <v>46112</v>
      </c>
      <c r="D97" t="inlineStr">
        <is>
          <t>ÖSTERGÖTLANDS LÄN</t>
        </is>
      </c>
      <c r="E97" t="inlineStr">
        <is>
          <t>MOTALA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28902-2022</t>
        </is>
      </c>
      <c r="B98" s="1" t="n">
        <v>44749.55334490741</v>
      </c>
      <c r="C98" s="1" t="n">
        <v>46112</v>
      </c>
      <c r="D98" t="inlineStr">
        <is>
          <t>ÖSTERGÖTLANDS LÄN</t>
        </is>
      </c>
      <c r="E98" t="inlineStr">
        <is>
          <t>MOTALA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54446-2022</t>
        </is>
      </c>
      <c r="B99" s="1" t="n">
        <v>44882.59640046296</v>
      </c>
      <c r="C99" s="1" t="n">
        <v>46112</v>
      </c>
      <c r="D99" t="inlineStr">
        <is>
          <t>ÖSTERGÖTLANDS LÄN</t>
        </is>
      </c>
      <c r="E99" t="inlineStr">
        <is>
          <t>MOTALA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19799-2021</t>
        </is>
      </c>
      <c r="B100" s="1" t="n">
        <v>44313</v>
      </c>
      <c r="C100" s="1" t="n">
        <v>46112</v>
      </c>
      <c r="D100" t="inlineStr">
        <is>
          <t>ÖSTERGÖTLANDS LÄN</t>
        </is>
      </c>
      <c r="E100" t="inlineStr">
        <is>
          <t>MOTALA</t>
        </is>
      </c>
      <c r="F100" t="inlineStr">
        <is>
          <t>Kyrkan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32341-2021</t>
        </is>
      </c>
      <c r="B101" s="1" t="n">
        <v>44371</v>
      </c>
      <c r="C101" s="1" t="n">
        <v>46112</v>
      </c>
      <c r="D101" t="inlineStr">
        <is>
          <t>ÖSTERGÖTLANDS LÄN</t>
        </is>
      </c>
      <c r="E101" t="inlineStr">
        <is>
          <t>MOTALA</t>
        </is>
      </c>
      <c r="F101" t="inlineStr">
        <is>
          <t>Kommuner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HYPERLINK("https://klasma.github.io/Logging_0583/knärot/A 32341-2021 karta knärot.png", "A 32341-2021")</f>
        <v/>
      </c>
      <c r="V101">
        <f>HYPERLINK("https://klasma.github.io/Logging_0583/klagomål/A 32341-2021 FSC-klagomål.docx", "A 32341-2021")</f>
        <v/>
      </c>
      <c r="W101">
        <f>HYPERLINK("https://klasma.github.io/Logging_0583/klagomålsmail/A 32341-2021 FSC-klagomål mail.docx", "A 32341-2021")</f>
        <v/>
      </c>
      <c r="X101">
        <f>HYPERLINK("https://klasma.github.io/Logging_0583/tillsyn/A 32341-2021 tillsynsbegäran.docx", "A 32341-2021")</f>
        <v/>
      </c>
      <c r="Y101">
        <f>HYPERLINK("https://klasma.github.io/Logging_0583/tillsynsmail/A 32341-2021 tillsynsbegäran mail.docx", "A 32341-2021")</f>
        <v/>
      </c>
    </row>
    <row r="102" ht="15" customHeight="1">
      <c r="A102" t="inlineStr">
        <is>
          <t>A 68288-2021</t>
        </is>
      </c>
      <c r="B102" s="1" t="n">
        <v>44526</v>
      </c>
      <c r="C102" s="1" t="n">
        <v>46112</v>
      </c>
      <c r="D102" t="inlineStr">
        <is>
          <t>ÖSTERGÖTLANDS LÄN</t>
        </is>
      </c>
      <c r="E102" t="inlineStr">
        <is>
          <t>MOTALA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34877-2022</t>
        </is>
      </c>
      <c r="B103" s="1" t="n">
        <v>44796</v>
      </c>
      <c r="C103" s="1" t="n">
        <v>46112</v>
      </c>
      <c r="D103" t="inlineStr">
        <is>
          <t>ÖSTERGÖTLANDS LÄN</t>
        </is>
      </c>
      <c r="E103" t="inlineStr">
        <is>
          <t>MOTALA</t>
        </is>
      </c>
      <c r="F103" t="inlineStr">
        <is>
          <t>Övriga statliga verk och myndigheter</t>
        </is>
      </c>
      <c r="G103" t="n">
        <v>21.3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68348-2021</t>
        </is>
      </c>
      <c r="B104" s="1" t="n">
        <v>44528</v>
      </c>
      <c r="C104" s="1" t="n">
        <v>46112</v>
      </c>
      <c r="D104" t="inlineStr">
        <is>
          <t>ÖSTERGÖTLANDS LÄN</t>
        </is>
      </c>
      <c r="E104" t="inlineStr">
        <is>
          <t>MOTALA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62019-2021</t>
        </is>
      </c>
      <c r="B105" s="1" t="n">
        <v>44501</v>
      </c>
      <c r="C105" s="1" t="n">
        <v>46112</v>
      </c>
      <c r="D105" t="inlineStr">
        <is>
          <t>ÖSTERGÖTLANDS LÄN</t>
        </is>
      </c>
      <c r="E105" t="inlineStr">
        <is>
          <t>MOTALA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66199-2021</t>
        </is>
      </c>
      <c r="B106" s="1" t="n">
        <v>44518.32844907408</v>
      </c>
      <c r="C106" s="1" t="n">
        <v>46112</v>
      </c>
      <c r="D106" t="inlineStr">
        <is>
          <t>ÖSTERGÖTLANDS LÄN</t>
        </is>
      </c>
      <c r="E106" t="inlineStr">
        <is>
          <t>MOTALA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49658-2021</t>
        </is>
      </c>
      <c r="B107" s="1" t="n">
        <v>44455</v>
      </c>
      <c r="C107" s="1" t="n">
        <v>46112</v>
      </c>
      <c r="D107" t="inlineStr">
        <is>
          <t>ÖSTERGÖTLANDS LÄN</t>
        </is>
      </c>
      <c r="E107" t="inlineStr">
        <is>
          <t>MOTALA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60618-2021</t>
        </is>
      </c>
      <c r="B108" s="1" t="n">
        <v>44496</v>
      </c>
      <c r="C108" s="1" t="n">
        <v>46112</v>
      </c>
      <c r="D108" t="inlineStr">
        <is>
          <t>ÖSTERGÖTLANDS LÄN</t>
        </is>
      </c>
      <c r="E108" t="inlineStr">
        <is>
          <t>MOTALA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49627-2021</t>
        </is>
      </c>
      <c r="B109" s="1" t="n">
        <v>44455</v>
      </c>
      <c r="C109" s="1" t="n">
        <v>46112</v>
      </c>
      <c r="D109" t="inlineStr">
        <is>
          <t>ÖSTERGÖTLANDS LÄN</t>
        </is>
      </c>
      <c r="E109" t="inlineStr">
        <is>
          <t>MOTALA</t>
        </is>
      </c>
      <c r="G109" t="n">
        <v>14.2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57841-2021</t>
        </is>
      </c>
      <c r="B110" s="1" t="n">
        <v>44484.72994212963</v>
      </c>
      <c r="C110" s="1" t="n">
        <v>46112</v>
      </c>
      <c r="D110" t="inlineStr">
        <is>
          <t>ÖSTERGÖTLANDS LÄN</t>
        </is>
      </c>
      <c r="E110" t="inlineStr">
        <is>
          <t>MOTALA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37477-2022</t>
        </is>
      </c>
      <c r="B111" s="1" t="n">
        <v>44809</v>
      </c>
      <c r="C111" s="1" t="n">
        <v>46112</v>
      </c>
      <c r="D111" t="inlineStr">
        <is>
          <t>ÖSTERGÖTLANDS LÄN</t>
        </is>
      </c>
      <c r="E111" t="inlineStr">
        <is>
          <t>MOTALA</t>
        </is>
      </c>
      <c r="F111" t="inlineStr">
        <is>
          <t>Övriga statliga verk och myndigheter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41939-2022</t>
        </is>
      </c>
      <c r="B112" s="1" t="n">
        <v>44830.37873842593</v>
      </c>
      <c r="C112" s="1" t="n">
        <v>46112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9626-2023</t>
        </is>
      </c>
      <c r="B113" s="1" t="n">
        <v>44984.34011574074</v>
      </c>
      <c r="C113" s="1" t="n">
        <v>46112</v>
      </c>
      <c r="D113" t="inlineStr">
        <is>
          <t>ÖSTERGÖTLANDS LÄN</t>
        </is>
      </c>
      <c r="E113" t="inlineStr">
        <is>
          <t>MOTALA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43995-2023</t>
        </is>
      </c>
      <c r="B114" s="1" t="n">
        <v>45187.97777777778</v>
      </c>
      <c r="C114" s="1" t="n">
        <v>46112</v>
      </c>
      <c r="D114" t="inlineStr">
        <is>
          <t>ÖSTERGÖTLANDS LÄN</t>
        </is>
      </c>
      <c r="E114" t="inlineStr">
        <is>
          <t>MOTALA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25737-2021</t>
        </is>
      </c>
      <c r="B115" s="1" t="n">
        <v>44343.63775462963</v>
      </c>
      <c r="C115" s="1" t="n">
        <v>46112</v>
      </c>
      <c r="D115" t="inlineStr">
        <is>
          <t>ÖSTERGÖTLANDS LÄN</t>
        </is>
      </c>
      <c r="E115" t="inlineStr">
        <is>
          <t>MOTALA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4255-2023</t>
        </is>
      </c>
      <c r="B116" s="1" t="n">
        <v>44953</v>
      </c>
      <c r="C116" s="1" t="n">
        <v>46112</v>
      </c>
      <c r="D116" t="inlineStr">
        <is>
          <t>ÖSTERGÖTLANDS LÄN</t>
        </is>
      </c>
      <c r="E116" t="inlineStr">
        <is>
          <t>MOTALA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13381-2024</t>
        </is>
      </c>
      <c r="B117" s="1" t="n">
        <v>45387.38473379629</v>
      </c>
      <c r="C117" s="1" t="n">
        <v>46112</v>
      </c>
      <c r="D117" t="inlineStr">
        <is>
          <t>ÖSTERGÖTLANDS LÄN</t>
        </is>
      </c>
      <c r="E117" t="inlineStr">
        <is>
          <t>MOTALA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9081-2022</t>
        </is>
      </c>
      <c r="B118" s="1" t="n">
        <v>44615</v>
      </c>
      <c r="C118" s="1" t="n">
        <v>46112</v>
      </c>
      <c r="D118" t="inlineStr">
        <is>
          <t>ÖSTERGÖTLANDS LÄN</t>
        </is>
      </c>
      <c r="E118" t="inlineStr">
        <is>
          <t>MOTALA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50536-2023</t>
        </is>
      </c>
      <c r="B119" s="1" t="n">
        <v>45217</v>
      </c>
      <c r="C119" s="1" t="n">
        <v>46112</v>
      </c>
      <c r="D119" t="inlineStr">
        <is>
          <t>ÖSTERGÖTLANDS LÄN</t>
        </is>
      </c>
      <c r="E119" t="inlineStr">
        <is>
          <t>MOTALA</t>
        </is>
      </c>
      <c r="F119" t="inlineStr">
        <is>
          <t>Sveaskog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53491-2022</t>
        </is>
      </c>
      <c r="B120" s="1" t="n">
        <v>44879.56688657407</v>
      </c>
      <c r="C120" s="1" t="n">
        <v>46112</v>
      </c>
      <c r="D120" t="inlineStr">
        <is>
          <t>ÖSTERGÖTLANDS LÄN</t>
        </is>
      </c>
      <c r="E120" t="inlineStr">
        <is>
          <t>MOTALA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15544-2025</t>
        </is>
      </c>
      <c r="B121" s="1" t="n">
        <v>45747.65967592593</v>
      </c>
      <c r="C121" s="1" t="n">
        <v>46112</v>
      </c>
      <c r="D121" t="inlineStr">
        <is>
          <t>ÖSTERGÖTLANDS LÄN</t>
        </is>
      </c>
      <c r="E121" t="inlineStr">
        <is>
          <t>MOTALA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24090-2023</t>
        </is>
      </c>
      <c r="B122" s="1" t="n">
        <v>45079</v>
      </c>
      <c r="C122" s="1" t="n">
        <v>46112</v>
      </c>
      <c r="D122" t="inlineStr">
        <is>
          <t>ÖSTERGÖTLANDS LÄN</t>
        </is>
      </c>
      <c r="E122" t="inlineStr">
        <is>
          <t>MOTALA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23580-2024</t>
        </is>
      </c>
      <c r="B123" s="1" t="n">
        <v>45454</v>
      </c>
      <c r="C123" s="1" t="n">
        <v>46112</v>
      </c>
      <c r="D123" t="inlineStr">
        <is>
          <t>ÖSTERGÖTLANDS LÄN</t>
        </is>
      </c>
      <c r="E123" t="inlineStr">
        <is>
          <t>MOTALA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64164-2023</t>
        </is>
      </c>
      <c r="B124" s="1" t="n">
        <v>45279</v>
      </c>
      <c r="C124" s="1" t="n">
        <v>46112</v>
      </c>
      <c r="D124" t="inlineStr">
        <is>
          <t>ÖSTERGÖTLANDS LÄN</t>
        </is>
      </c>
      <c r="E124" t="inlineStr">
        <is>
          <t>MOTALA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12916-2023</t>
        </is>
      </c>
      <c r="B125" s="1" t="n">
        <v>45001</v>
      </c>
      <c r="C125" s="1" t="n">
        <v>46112</v>
      </c>
      <c r="D125" t="inlineStr">
        <is>
          <t>ÖSTERGÖTLANDS LÄN</t>
        </is>
      </c>
      <c r="E125" t="inlineStr">
        <is>
          <t>MOTALA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43369-2023</t>
        </is>
      </c>
      <c r="B126" s="1" t="n">
        <v>45183.73969907407</v>
      </c>
      <c r="C126" s="1" t="n">
        <v>46112</v>
      </c>
      <c r="D126" t="inlineStr">
        <is>
          <t>ÖSTERGÖTLANDS LÄN</t>
        </is>
      </c>
      <c r="E126" t="inlineStr">
        <is>
          <t>MOTALA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7295-2022</t>
        </is>
      </c>
      <c r="B127" s="1" t="n">
        <v>44606.48096064815</v>
      </c>
      <c r="C127" s="1" t="n">
        <v>46112</v>
      </c>
      <c r="D127" t="inlineStr">
        <is>
          <t>ÖSTERGÖTLANDS LÄN</t>
        </is>
      </c>
      <c r="E127" t="inlineStr">
        <is>
          <t>MOTALA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31430-2023</t>
        </is>
      </c>
      <c r="B128" s="1" t="n">
        <v>45114</v>
      </c>
      <c r="C128" s="1" t="n">
        <v>46112</v>
      </c>
      <c r="D128" t="inlineStr">
        <is>
          <t>ÖSTERGÖTLANDS LÄN</t>
        </is>
      </c>
      <c r="E128" t="inlineStr">
        <is>
          <t>MOTALA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44866-2024</t>
        </is>
      </c>
      <c r="B129" s="1" t="n">
        <v>45575.32675925926</v>
      </c>
      <c r="C129" s="1" t="n">
        <v>46112</v>
      </c>
      <c r="D129" t="inlineStr">
        <is>
          <t>ÖSTERGÖTLANDS LÄN</t>
        </is>
      </c>
      <c r="E129" t="inlineStr">
        <is>
          <t>MOTALA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7058-2024</t>
        </is>
      </c>
      <c r="B130" s="1" t="n">
        <v>45343</v>
      </c>
      <c r="C130" s="1" t="n">
        <v>46112</v>
      </c>
      <c r="D130" t="inlineStr">
        <is>
          <t>ÖSTERGÖTLANDS LÄN</t>
        </is>
      </c>
      <c r="E130" t="inlineStr">
        <is>
          <t>MOTALA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28395-2022</t>
        </is>
      </c>
      <c r="B131" s="1" t="n">
        <v>44747</v>
      </c>
      <c r="C131" s="1" t="n">
        <v>46112</v>
      </c>
      <c r="D131" t="inlineStr">
        <is>
          <t>ÖSTERGÖTLANDS LÄN</t>
        </is>
      </c>
      <c r="E131" t="inlineStr">
        <is>
          <t>MOTALA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41796-2024</t>
        </is>
      </c>
      <c r="B132" s="1" t="n">
        <v>45561.36263888889</v>
      </c>
      <c r="C132" s="1" t="n">
        <v>46112</v>
      </c>
      <c r="D132" t="inlineStr">
        <is>
          <t>ÖSTERGÖTLANDS LÄN</t>
        </is>
      </c>
      <c r="E132" t="inlineStr">
        <is>
          <t>MOTALA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567-2022</t>
        </is>
      </c>
      <c r="B133" s="1" t="n">
        <v>44566.78021990741</v>
      </c>
      <c r="C133" s="1" t="n">
        <v>46112</v>
      </c>
      <c r="D133" t="inlineStr">
        <is>
          <t>ÖSTERGÖTLANDS LÄN</t>
        </is>
      </c>
      <c r="E133" t="inlineStr">
        <is>
          <t>MOTALA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1172-2024</t>
        </is>
      </c>
      <c r="B134" s="1" t="n">
        <v>45302</v>
      </c>
      <c r="C134" s="1" t="n">
        <v>46112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29703-2024</t>
        </is>
      </c>
      <c r="B135" s="1" t="n">
        <v>45485.32336805556</v>
      </c>
      <c r="C135" s="1" t="n">
        <v>46112</v>
      </c>
      <c r="D135" t="inlineStr">
        <is>
          <t>ÖSTERGÖTLANDS LÄN</t>
        </is>
      </c>
      <c r="E135" t="inlineStr">
        <is>
          <t>MOTALA</t>
        </is>
      </c>
      <c r="F135" t="inlineStr">
        <is>
          <t>Holmen skog AB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11168-2023</t>
        </is>
      </c>
      <c r="B136" s="1" t="n">
        <v>44992.55997685185</v>
      </c>
      <c r="C136" s="1" t="n">
        <v>46112</v>
      </c>
      <c r="D136" t="inlineStr">
        <is>
          <t>ÖSTERGÖTLANDS LÄN</t>
        </is>
      </c>
      <c r="E136" t="inlineStr">
        <is>
          <t>MOTALA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18391-2025</t>
        </is>
      </c>
      <c r="B137" s="1" t="n">
        <v>45762.59148148148</v>
      </c>
      <c r="C137" s="1" t="n">
        <v>46112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49867-2024</t>
        </is>
      </c>
      <c r="B138" s="1" t="n">
        <v>45597.48641203704</v>
      </c>
      <c r="C138" s="1" t="n">
        <v>46112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22291-2024</t>
        </is>
      </c>
      <c r="B139" s="1" t="n">
        <v>45446</v>
      </c>
      <c r="C139" s="1" t="n">
        <v>46112</v>
      </c>
      <c r="D139" t="inlineStr">
        <is>
          <t>ÖSTERGÖTLANDS LÄN</t>
        </is>
      </c>
      <c r="E139" t="inlineStr">
        <is>
          <t>MOTALA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14676-2025</t>
        </is>
      </c>
      <c r="B140" s="1" t="n">
        <v>45742.56415509259</v>
      </c>
      <c r="C140" s="1" t="n">
        <v>46112</v>
      </c>
      <c r="D140" t="inlineStr">
        <is>
          <t>ÖSTERGÖTLANDS LÄN</t>
        </is>
      </c>
      <c r="E140" t="inlineStr">
        <is>
          <t>MOTALA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50137-2023</t>
        </is>
      </c>
      <c r="B141" s="1" t="n">
        <v>45215.66366898148</v>
      </c>
      <c r="C141" s="1" t="n">
        <v>46112</v>
      </c>
      <c r="D141" t="inlineStr">
        <is>
          <t>ÖSTERGÖTLANDS LÄN</t>
        </is>
      </c>
      <c r="E141" t="inlineStr">
        <is>
          <t>MOTALA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29628-2024</t>
        </is>
      </c>
      <c r="B142" s="1" t="n">
        <v>45484.66387731482</v>
      </c>
      <c r="C142" s="1" t="n">
        <v>46112</v>
      </c>
      <c r="D142" t="inlineStr">
        <is>
          <t>ÖSTERGÖTLANDS LÄN</t>
        </is>
      </c>
      <c r="E142" t="inlineStr">
        <is>
          <t>MOTALA</t>
        </is>
      </c>
      <c r="F142" t="inlineStr">
        <is>
          <t>Holmen skog AB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41093-2023</t>
        </is>
      </c>
      <c r="B143" s="1" t="n">
        <v>45173.66935185185</v>
      </c>
      <c r="C143" s="1" t="n">
        <v>46112</v>
      </c>
      <c r="D143" t="inlineStr">
        <is>
          <t>ÖSTERGÖTLANDS LÄN</t>
        </is>
      </c>
      <c r="E143" t="inlineStr">
        <is>
          <t>MOTALA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41732-2024</t>
        </is>
      </c>
      <c r="B144" s="1" t="n">
        <v>45560.94553240741</v>
      </c>
      <c r="C144" s="1" t="n">
        <v>46112</v>
      </c>
      <c r="D144" t="inlineStr">
        <is>
          <t>ÖSTERGÖTLANDS LÄN</t>
        </is>
      </c>
      <c r="E144" t="inlineStr">
        <is>
          <t>MOTALA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3993-2023</t>
        </is>
      </c>
      <c r="B145" s="1" t="n">
        <v>44952.48636574074</v>
      </c>
      <c r="C145" s="1" t="n">
        <v>46112</v>
      </c>
      <c r="D145" t="inlineStr">
        <is>
          <t>ÖSTERGÖTLANDS LÄN</t>
        </is>
      </c>
      <c r="E145" t="inlineStr">
        <is>
          <t>MOTALA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1038-2023</t>
        </is>
      </c>
      <c r="B146" s="1" t="n">
        <v>44935</v>
      </c>
      <c r="C146" s="1" t="n">
        <v>46112</v>
      </c>
      <c r="D146" t="inlineStr">
        <is>
          <t>ÖSTERGÖTLANDS LÄN</t>
        </is>
      </c>
      <c r="E146" t="inlineStr">
        <is>
          <t>MOTALA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25977-2022</t>
        </is>
      </c>
      <c r="B147" s="1" t="n">
        <v>44734.48049768519</v>
      </c>
      <c r="C147" s="1" t="n">
        <v>46112</v>
      </c>
      <c r="D147" t="inlineStr">
        <is>
          <t>ÖSTERGÖTLANDS LÄN</t>
        </is>
      </c>
      <c r="E147" t="inlineStr">
        <is>
          <t>MOTALA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1474-2023</t>
        </is>
      </c>
      <c r="B148" s="1" t="n">
        <v>44937.45157407408</v>
      </c>
      <c r="C148" s="1" t="n">
        <v>46112</v>
      </c>
      <c r="D148" t="inlineStr">
        <is>
          <t>ÖSTERGÖTLANDS LÄN</t>
        </is>
      </c>
      <c r="E148" t="inlineStr">
        <is>
          <t>MOTALA</t>
        </is>
      </c>
      <c r="F148" t="inlineStr">
        <is>
          <t>Kommuner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60682-2024</t>
        </is>
      </c>
      <c r="B149" s="1" t="n">
        <v>45644.46488425926</v>
      </c>
      <c r="C149" s="1" t="n">
        <v>46112</v>
      </c>
      <c r="D149" t="inlineStr">
        <is>
          <t>ÖSTERGÖTLANDS LÄN</t>
        </is>
      </c>
      <c r="E149" t="inlineStr">
        <is>
          <t>MOTALA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29077-2022</t>
        </is>
      </c>
      <c r="B150" s="1" t="n">
        <v>44750.37049768519</v>
      </c>
      <c r="C150" s="1" t="n">
        <v>46112</v>
      </c>
      <c r="D150" t="inlineStr">
        <is>
          <t>ÖSTERGÖTLANDS LÄN</t>
        </is>
      </c>
      <c r="E150" t="inlineStr">
        <is>
          <t>MOTALA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37279-2024</t>
        </is>
      </c>
      <c r="B151" s="1" t="n">
        <v>45540</v>
      </c>
      <c r="C151" s="1" t="n">
        <v>46112</v>
      </c>
      <c r="D151" t="inlineStr">
        <is>
          <t>ÖSTERGÖTLANDS LÄN</t>
        </is>
      </c>
      <c r="E151" t="inlineStr">
        <is>
          <t>MOTALA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21201-2024</t>
        </is>
      </c>
      <c r="B152" s="1" t="n">
        <v>45440.54326388889</v>
      </c>
      <c r="C152" s="1" t="n">
        <v>46112</v>
      </c>
      <c r="D152" t="inlineStr">
        <is>
          <t>ÖSTERGÖTLANDS LÄN</t>
        </is>
      </c>
      <c r="E152" t="inlineStr">
        <is>
          <t>MOTALA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28681-2022</t>
        </is>
      </c>
      <c r="B153" s="1" t="n">
        <v>44748.70547453704</v>
      </c>
      <c r="C153" s="1" t="n">
        <v>46112</v>
      </c>
      <c r="D153" t="inlineStr">
        <is>
          <t>ÖSTERGÖTLANDS LÄN</t>
        </is>
      </c>
      <c r="E153" t="inlineStr">
        <is>
          <t>MOTALA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27161-2025</t>
        </is>
      </c>
      <c r="B154" s="1" t="n">
        <v>45812.34155092593</v>
      </c>
      <c r="C154" s="1" t="n">
        <v>46112</v>
      </c>
      <c r="D154" t="inlineStr">
        <is>
          <t>ÖSTERGÖTLANDS LÄN</t>
        </is>
      </c>
      <c r="E154" t="inlineStr">
        <is>
          <t>MOTALA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30377-2023</t>
        </is>
      </c>
      <c r="B155" s="1" t="n">
        <v>45111</v>
      </c>
      <c r="C155" s="1" t="n">
        <v>46112</v>
      </c>
      <c r="D155" t="inlineStr">
        <is>
          <t>ÖSTERGÖTLANDS LÄN</t>
        </is>
      </c>
      <c r="E155" t="inlineStr">
        <is>
          <t>MOTALA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19217-2023</t>
        </is>
      </c>
      <c r="B156" s="1" t="n">
        <v>45048.78258101852</v>
      </c>
      <c r="C156" s="1" t="n">
        <v>46112</v>
      </c>
      <c r="D156" t="inlineStr">
        <is>
          <t>ÖSTERGÖTLANDS LÄN</t>
        </is>
      </c>
      <c r="E156" t="inlineStr">
        <is>
          <t>MOTALA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38660-2024</t>
        </is>
      </c>
      <c r="B157" s="1" t="n">
        <v>45546.97644675926</v>
      </c>
      <c r="C157" s="1" t="n">
        <v>46112</v>
      </c>
      <c r="D157" t="inlineStr">
        <is>
          <t>ÖSTERGÖTLANDS LÄN</t>
        </is>
      </c>
      <c r="E157" t="inlineStr">
        <is>
          <t>MOTALA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37428-2021</t>
        </is>
      </c>
      <c r="B158" s="1" t="n">
        <v>44398</v>
      </c>
      <c r="C158" s="1" t="n">
        <v>46112</v>
      </c>
      <c r="D158" t="inlineStr">
        <is>
          <t>ÖSTERGÖTLANDS LÄN</t>
        </is>
      </c>
      <c r="E158" t="inlineStr">
        <is>
          <t>MOTALA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70564-2021</t>
        </is>
      </c>
      <c r="B159" s="1" t="n">
        <v>44537</v>
      </c>
      <c r="C159" s="1" t="n">
        <v>46112</v>
      </c>
      <c r="D159" t="inlineStr">
        <is>
          <t>ÖSTERGÖTLANDS LÄN</t>
        </is>
      </c>
      <c r="E159" t="inlineStr">
        <is>
          <t>MOTALA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19526-2024</t>
        </is>
      </c>
      <c r="B160" s="1" t="n">
        <v>45429.63706018519</v>
      </c>
      <c r="C160" s="1" t="n">
        <v>46112</v>
      </c>
      <c r="D160" t="inlineStr">
        <is>
          <t>ÖSTERGÖTLANDS LÄN</t>
        </is>
      </c>
      <c r="E160" t="inlineStr">
        <is>
          <t>MOTALA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50785-2021</t>
        </is>
      </c>
      <c r="B161" s="1" t="n">
        <v>44459</v>
      </c>
      <c r="C161" s="1" t="n">
        <v>46112</v>
      </c>
      <c r="D161" t="inlineStr">
        <is>
          <t>ÖSTERGÖTLANDS LÄN</t>
        </is>
      </c>
      <c r="E161" t="inlineStr">
        <is>
          <t>MOTALA</t>
        </is>
      </c>
      <c r="F161" t="inlineStr">
        <is>
          <t>Kyrkan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15071-2025</t>
        </is>
      </c>
      <c r="B162" s="1" t="n">
        <v>45743.77516203704</v>
      </c>
      <c r="C162" s="1" t="n">
        <v>46112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10510-2026</t>
        </is>
      </c>
      <c r="B163" s="1" t="n">
        <v>46077</v>
      </c>
      <c r="C163" s="1" t="n">
        <v>46112</v>
      </c>
      <c r="D163" t="inlineStr">
        <is>
          <t>ÖSTERGÖTLANDS LÄN</t>
        </is>
      </c>
      <c r="E163" t="inlineStr">
        <is>
          <t>MOTALA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28426-2025</t>
        </is>
      </c>
      <c r="B164" s="1" t="n">
        <v>45819.37326388889</v>
      </c>
      <c r="C164" s="1" t="n">
        <v>46112</v>
      </c>
      <c r="D164" t="inlineStr">
        <is>
          <t>ÖSTERGÖTLANDS LÄN</t>
        </is>
      </c>
      <c r="E164" t="inlineStr">
        <is>
          <t>MOTALA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23603-2021</t>
        </is>
      </c>
      <c r="B165" s="1" t="n">
        <v>44334</v>
      </c>
      <c r="C165" s="1" t="n">
        <v>46112</v>
      </c>
      <c r="D165" t="inlineStr">
        <is>
          <t>ÖSTERGÖTLANDS LÄN</t>
        </is>
      </c>
      <c r="E165" t="inlineStr">
        <is>
          <t>MOTALA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27895-2025</t>
        </is>
      </c>
      <c r="B166" s="1" t="n">
        <v>45817</v>
      </c>
      <c r="C166" s="1" t="n">
        <v>46112</v>
      </c>
      <c r="D166" t="inlineStr">
        <is>
          <t>ÖSTERGÖTLANDS LÄN</t>
        </is>
      </c>
      <c r="E166" t="inlineStr">
        <is>
          <t>MOTALA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64184-2023</t>
        </is>
      </c>
      <c r="B167" s="1" t="n">
        <v>45279.65524305555</v>
      </c>
      <c r="C167" s="1" t="n">
        <v>46112</v>
      </c>
      <c r="D167" t="inlineStr">
        <is>
          <t>ÖSTERGÖTLANDS LÄN</t>
        </is>
      </c>
      <c r="E167" t="inlineStr">
        <is>
          <t>MOTALA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39228-2025</t>
        </is>
      </c>
      <c r="B168" s="1" t="n">
        <v>45889.25898148148</v>
      </c>
      <c r="C168" s="1" t="n">
        <v>46112</v>
      </c>
      <c r="D168" t="inlineStr">
        <is>
          <t>ÖSTERGÖTLANDS LÄN</t>
        </is>
      </c>
      <c r="E168" t="inlineStr">
        <is>
          <t>MOTALA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39229-2025</t>
        </is>
      </c>
      <c r="B169" s="1" t="n">
        <v>45889.25998842593</v>
      </c>
      <c r="C169" s="1" t="n">
        <v>46112</v>
      </c>
      <c r="D169" t="inlineStr">
        <is>
          <t>ÖSTERGÖTLANDS LÄN</t>
        </is>
      </c>
      <c r="E169" t="inlineStr">
        <is>
          <t>MOTALA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29314-2025</t>
        </is>
      </c>
      <c r="B170" s="1" t="n">
        <v>45824.46805555555</v>
      </c>
      <c r="C170" s="1" t="n">
        <v>46112</v>
      </c>
      <c r="D170" t="inlineStr">
        <is>
          <t>ÖSTERGÖTLANDS LÄN</t>
        </is>
      </c>
      <c r="E170" t="inlineStr">
        <is>
          <t>MOTALA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47308-2023</t>
        </is>
      </c>
      <c r="B171" s="1" t="n">
        <v>45202.48847222222</v>
      </c>
      <c r="C171" s="1" t="n">
        <v>46112</v>
      </c>
      <c r="D171" t="inlineStr">
        <is>
          <t>ÖSTERGÖTLANDS LÄN</t>
        </is>
      </c>
      <c r="E171" t="inlineStr">
        <is>
          <t>MOTALA</t>
        </is>
      </c>
      <c r="G171" t="n">
        <v>17.6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24547-2025</t>
        </is>
      </c>
      <c r="B172" s="1" t="n">
        <v>45798.44715277778</v>
      </c>
      <c r="C172" s="1" t="n">
        <v>46112</v>
      </c>
      <c r="D172" t="inlineStr">
        <is>
          <t>ÖSTERGÖTLANDS LÄN</t>
        </is>
      </c>
      <c r="E172" t="inlineStr">
        <is>
          <t>MOTALA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29632-2025</t>
        </is>
      </c>
      <c r="B173" s="1" t="n">
        <v>45825.44871527778</v>
      </c>
      <c r="C173" s="1" t="n">
        <v>46112</v>
      </c>
      <c r="D173" t="inlineStr">
        <is>
          <t>ÖSTERGÖTLANDS LÄN</t>
        </is>
      </c>
      <c r="E173" t="inlineStr">
        <is>
          <t>MOTALA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30358-2025</t>
        </is>
      </c>
      <c r="B174" s="1" t="n">
        <v>45827.54061342592</v>
      </c>
      <c r="C174" s="1" t="n">
        <v>46112</v>
      </c>
      <c r="D174" t="inlineStr">
        <is>
          <t>ÖSTERGÖTLANDS LÄN</t>
        </is>
      </c>
      <c r="E174" t="inlineStr">
        <is>
          <t>MOTALA</t>
        </is>
      </c>
      <c r="F174" t="inlineStr">
        <is>
          <t>Sveaskog</t>
        </is>
      </c>
      <c r="G174" t="n">
        <v>11.4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30606-2023</t>
        </is>
      </c>
      <c r="B175" s="1" t="n">
        <v>45112</v>
      </c>
      <c r="C175" s="1" t="n">
        <v>46112</v>
      </c>
      <c r="D175" t="inlineStr">
        <is>
          <t>ÖSTERGÖTLANDS LÄN</t>
        </is>
      </c>
      <c r="E175" t="inlineStr">
        <is>
          <t>MOTALA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2028-2022</t>
        </is>
      </c>
      <c r="B176" s="1" t="n">
        <v>44575</v>
      </c>
      <c r="C176" s="1" t="n">
        <v>46112</v>
      </c>
      <c r="D176" t="inlineStr">
        <is>
          <t>ÖSTERGÖTLANDS LÄN</t>
        </is>
      </c>
      <c r="E176" t="inlineStr">
        <is>
          <t>MOTALA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30357-2025</t>
        </is>
      </c>
      <c r="B177" s="1" t="n">
        <v>45827.53986111111</v>
      </c>
      <c r="C177" s="1" t="n">
        <v>46112</v>
      </c>
      <c r="D177" t="inlineStr">
        <is>
          <t>ÖSTERGÖTLANDS LÄN</t>
        </is>
      </c>
      <c r="E177" t="inlineStr">
        <is>
          <t>MOTALA</t>
        </is>
      </c>
      <c r="F177" t="inlineStr">
        <is>
          <t>Sveaskog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58331-2022</t>
        </is>
      </c>
      <c r="B178" s="1" t="n">
        <v>44901.56424768519</v>
      </c>
      <c r="C178" s="1" t="n">
        <v>46112</v>
      </c>
      <c r="D178" t="inlineStr">
        <is>
          <t>ÖSTERGÖTLANDS LÄN</t>
        </is>
      </c>
      <c r="E178" t="inlineStr">
        <is>
          <t>MOTALA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40245-2025</t>
        </is>
      </c>
      <c r="B179" s="1" t="n">
        <v>45894.88730324074</v>
      </c>
      <c r="C179" s="1" t="n">
        <v>46112</v>
      </c>
      <c r="D179" t="inlineStr">
        <is>
          <t>ÖSTERGÖTLANDS LÄN</t>
        </is>
      </c>
      <c r="E179" t="inlineStr">
        <is>
          <t>MOTALA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40244-2025</t>
        </is>
      </c>
      <c r="B180" s="1" t="n">
        <v>45894.88547453703</v>
      </c>
      <c r="C180" s="1" t="n">
        <v>46112</v>
      </c>
      <c r="D180" t="inlineStr">
        <is>
          <t>ÖSTERGÖTLANDS LÄN</t>
        </is>
      </c>
      <c r="E180" t="inlineStr">
        <is>
          <t>MOTALA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40106-2025</t>
        </is>
      </c>
      <c r="B181" s="1" t="n">
        <v>45894.48984953704</v>
      </c>
      <c r="C181" s="1" t="n">
        <v>46112</v>
      </c>
      <c r="D181" t="inlineStr">
        <is>
          <t>ÖSTERGÖTLANDS LÄN</t>
        </is>
      </c>
      <c r="E181" t="inlineStr">
        <is>
          <t>MOTALA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6991-2023</t>
        </is>
      </c>
      <c r="B182" s="1" t="n">
        <v>44967.7121875</v>
      </c>
      <c r="C182" s="1" t="n">
        <v>46112</v>
      </c>
      <c r="D182" t="inlineStr">
        <is>
          <t>ÖSTERGÖTLANDS LÄN</t>
        </is>
      </c>
      <c r="E182" t="inlineStr">
        <is>
          <t>MOTALA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6996-2023</t>
        </is>
      </c>
      <c r="B183" s="1" t="n">
        <v>44967.77166666667</v>
      </c>
      <c r="C183" s="1" t="n">
        <v>46112</v>
      </c>
      <c r="D183" t="inlineStr">
        <is>
          <t>ÖSTERGÖTLANDS LÄN</t>
        </is>
      </c>
      <c r="E183" t="inlineStr">
        <is>
          <t>MOTALA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15599-2024</t>
        </is>
      </c>
      <c r="B184" s="1" t="n">
        <v>45401.83496527778</v>
      </c>
      <c r="C184" s="1" t="n">
        <v>46112</v>
      </c>
      <c r="D184" t="inlineStr">
        <is>
          <t>ÖSTERGÖTLANDS LÄN</t>
        </is>
      </c>
      <c r="E184" t="inlineStr">
        <is>
          <t>MOTALA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40243-2025</t>
        </is>
      </c>
      <c r="B185" s="1" t="n">
        <v>45894.88321759259</v>
      </c>
      <c r="C185" s="1" t="n">
        <v>46112</v>
      </c>
      <c r="D185" t="inlineStr">
        <is>
          <t>ÖSTERGÖTLANDS LÄN</t>
        </is>
      </c>
      <c r="E185" t="inlineStr">
        <is>
          <t>MOTALA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25262-2025</t>
        </is>
      </c>
      <c r="B186" s="1" t="n">
        <v>45800</v>
      </c>
      <c r="C186" s="1" t="n">
        <v>46112</v>
      </c>
      <c r="D186" t="inlineStr">
        <is>
          <t>ÖSTERGÖTLANDS LÄN</t>
        </is>
      </c>
      <c r="E186" t="inlineStr">
        <is>
          <t>MOTALA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30640-2025</t>
        </is>
      </c>
      <c r="B187" s="1" t="n">
        <v>45831.48467592592</v>
      </c>
      <c r="C187" s="1" t="n">
        <v>46112</v>
      </c>
      <c r="D187" t="inlineStr">
        <is>
          <t>ÖSTERGÖTLANDS LÄN</t>
        </is>
      </c>
      <c r="E187" t="inlineStr">
        <is>
          <t>MOTALA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31683-2022</t>
        </is>
      </c>
      <c r="B188" s="1" t="n">
        <v>44776</v>
      </c>
      <c r="C188" s="1" t="n">
        <v>46112</v>
      </c>
      <c r="D188" t="inlineStr">
        <is>
          <t>ÖSTERGÖTLANDS LÄN</t>
        </is>
      </c>
      <c r="E188" t="inlineStr">
        <is>
          <t>MOTALA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11315-2026</t>
        </is>
      </c>
      <c r="B189" s="1" t="n">
        <v>46080.68115740741</v>
      </c>
      <c r="C189" s="1" t="n">
        <v>46112</v>
      </c>
      <c r="D189" t="inlineStr">
        <is>
          <t>ÖSTERGÖTLANDS LÄN</t>
        </is>
      </c>
      <c r="E189" t="inlineStr">
        <is>
          <t>MOTALA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11317-2026</t>
        </is>
      </c>
      <c r="B190" s="1" t="n">
        <v>46080.68550925926</v>
      </c>
      <c r="C190" s="1" t="n">
        <v>46112</v>
      </c>
      <c r="D190" t="inlineStr">
        <is>
          <t>ÖSTERGÖTLANDS LÄN</t>
        </is>
      </c>
      <c r="E190" t="inlineStr">
        <is>
          <t>MOTALA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11145-2026</t>
        </is>
      </c>
      <c r="B191" s="1" t="n">
        <v>46080.21711805555</v>
      </c>
      <c r="C191" s="1" t="n">
        <v>46112</v>
      </c>
      <c r="D191" t="inlineStr">
        <is>
          <t>ÖSTERGÖTLANDS LÄN</t>
        </is>
      </c>
      <c r="E191" t="inlineStr">
        <is>
          <t>MOTALA</t>
        </is>
      </c>
      <c r="F191" t="inlineStr">
        <is>
          <t>Kyrkan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11394-2026</t>
        </is>
      </c>
      <c r="B192" s="1" t="n">
        <v>46083.43511574074</v>
      </c>
      <c r="C192" s="1" t="n">
        <v>46112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8.300000000000001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40995-2025</t>
        </is>
      </c>
      <c r="B193" s="1" t="n">
        <v>45898.34202546296</v>
      </c>
      <c r="C193" s="1" t="n">
        <v>46112</v>
      </c>
      <c r="D193" t="inlineStr">
        <is>
          <t>ÖSTERGÖTLANDS LÄN</t>
        </is>
      </c>
      <c r="E193" t="inlineStr">
        <is>
          <t>MOTALA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21991-2023</t>
        </is>
      </c>
      <c r="B194" s="1" t="n">
        <v>45068</v>
      </c>
      <c r="C194" s="1" t="n">
        <v>46112</v>
      </c>
      <c r="D194" t="inlineStr">
        <is>
          <t>ÖSTERGÖTLANDS LÄN</t>
        </is>
      </c>
      <c r="E194" t="inlineStr">
        <is>
          <t>MOTALA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41009-2025</t>
        </is>
      </c>
      <c r="B195" s="1" t="n">
        <v>45898.35184027778</v>
      </c>
      <c r="C195" s="1" t="n">
        <v>46112</v>
      </c>
      <c r="D195" t="inlineStr">
        <is>
          <t>ÖSTERGÖTLANDS LÄN</t>
        </is>
      </c>
      <c r="E195" t="inlineStr">
        <is>
          <t>MOTALA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2201-2023</t>
        </is>
      </c>
      <c r="B196" s="1" t="n">
        <v>44942</v>
      </c>
      <c r="C196" s="1" t="n">
        <v>46112</v>
      </c>
      <c r="D196" t="inlineStr">
        <is>
          <t>ÖSTERGÖTLANDS LÄN</t>
        </is>
      </c>
      <c r="E196" t="inlineStr">
        <is>
          <t>MOTALA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1092-2023</t>
        </is>
      </c>
      <c r="B197" s="1" t="n">
        <v>44935</v>
      </c>
      <c r="C197" s="1" t="n">
        <v>46112</v>
      </c>
      <c r="D197" t="inlineStr">
        <is>
          <t>ÖSTERGÖTLANDS LÄN</t>
        </is>
      </c>
      <c r="E197" t="inlineStr">
        <is>
          <t>MOTALA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32756-2025</t>
        </is>
      </c>
      <c r="B198" s="1" t="n">
        <v>45839.43380787037</v>
      </c>
      <c r="C198" s="1" t="n">
        <v>46112</v>
      </c>
      <c r="D198" t="inlineStr">
        <is>
          <t>ÖSTERGÖTLANDS LÄN</t>
        </is>
      </c>
      <c r="E198" t="inlineStr">
        <is>
          <t>MOTALA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37084-2023</t>
        </is>
      </c>
      <c r="B199" s="1" t="n">
        <v>45155.49674768518</v>
      </c>
      <c r="C199" s="1" t="n">
        <v>46112</v>
      </c>
      <c r="D199" t="inlineStr">
        <is>
          <t>ÖSTERGÖTLANDS LÄN</t>
        </is>
      </c>
      <c r="E199" t="inlineStr">
        <is>
          <t>MOTALA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32889-2025</t>
        </is>
      </c>
      <c r="B200" s="1" t="n">
        <v>45839.60538194444</v>
      </c>
      <c r="C200" s="1" t="n">
        <v>46112</v>
      </c>
      <c r="D200" t="inlineStr">
        <is>
          <t>ÖSTERGÖTLANDS LÄN</t>
        </is>
      </c>
      <c r="E200" t="inlineStr">
        <is>
          <t>MOTALA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11319-2026</t>
        </is>
      </c>
      <c r="B201" s="1" t="n">
        <v>46080.69086805556</v>
      </c>
      <c r="C201" s="1" t="n">
        <v>46112</v>
      </c>
      <c r="D201" t="inlineStr">
        <is>
          <t>ÖSTERGÖTLANDS LÄN</t>
        </is>
      </c>
      <c r="E201" t="inlineStr">
        <is>
          <t>MOTALA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27896-2025</t>
        </is>
      </c>
      <c r="B202" s="1" t="n">
        <v>45817</v>
      </c>
      <c r="C202" s="1" t="n">
        <v>46112</v>
      </c>
      <c r="D202" t="inlineStr">
        <is>
          <t>ÖSTERGÖTLANDS LÄN</t>
        </is>
      </c>
      <c r="E202" t="inlineStr">
        <is>
          <t>MOTALA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50248-2022</t>
        </is>
      </c>
      <c r="B203" s="1" t="n">
        <v>44865</v>
      </c>
      <c r="C203" s="1" t="n">
        <v>46112</v>
      </c>
      <c r="D203" t="inlineStr">
        <is>
          <t>ÖSTERGÖTLANDS LÄN</t>
        </is>
      </c>
      <c r="E203" t="inlineStr">
        <is>
          <t>MOTALA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56275-2022</t>
        </is>
      </c>
      <c r="B204" s="1" t="n">
        <v>44890.57740740741</v>
      </c>
      <c r="C204" s="1" t="n">
        <v>46112</v>
      </c>
      <c r="D204" t="inlineStr">
        <is>
          <t>ÖSTERGÖTLANDS LÄN</t>
        </is>
      </c>
      <c r="E204" t="inlineStr">
        <is>
          <t>MOTALA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33669-2025</t>
        </is>
      </c>
      <c r="B205" s="1" t="n">
        <v>45841.67475694444</v>
      </c>
      <c r="C205" s="1" t="n">
        <v>46112</v>
      </c>
      <c r="D205" t="inlineStr">
        <is>
          <t>ÖSTERGÖTLANDS LÄN</t>
        </is>
      </c>
      <c r="E205" t="inlineStr">
        <is>
          <t>MOTALA</t>
        </is>
      </c>
      <c r="G205" t="n">
        <v>10.5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33665-2025</t>
        </is>
      </c>
      <c r="B206" s="1" t="n">
        <v>45841.66960648148</v>
      </c>
      <c r="C206" s="1" t="n">
        <v>46112</v>
      </c>
      <c r="D206" t="inlineStr">
        <is>
          <t>ÖSTERGÖTLANDS LÄN</t>
        </is>
      </c>
      <c r="E206" t="inlineStr">
        <is>
          <t>MOTALA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26785-2024</t>
        </is>
      </c>
      <c r="B207" s="1" t="n">
        <v>45470</v>
      </c>
      <c r="C207" s="1" t="n">
        <v>46112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61002-2022</t>
        </is>
      </c>
      <c r="B208" s="1" t="n">
        <v>44914.73873842593</v>
      </c>
      <c r="C208" s="1" t="n">
        <v>46112</v>
      </c>
      <c r="D208" t="inlineStr">
        <is>
          <t>ÖSTERGÖTLANDS LÄN</t>
        </is>
      </c>
      <c r="E208" t="inlineStr">
        <is>
          <t>MOTALA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3030-2024</t>
        </is>
      </c>
      <c r="B209" s="1" t="n">
        <v>45316.31804398148</v>
      </c>
      <c r="C209" s="1" t="n">
        <v>46112</v>
      </c>
      <c r="D209" t="inlineStr">
        <is>
          <t>ÖSTERGÖTLANDS LÄN</t>
        </is>
      </c>
      <c r="E209" t="inlineStr">
        <is>
          <t>MOTALA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55277-2023</t>
        </is>
      </c>
      <c r="B210" s="1" t="n">
        <v>45237.68737268518</v>
      </c>
      <c r="C210" s="1" t="n">
        <v>46112</v>
      </c>
      <c r="D210" t="inlineStr">
        <is>
          <t>ÖSTERGÖTLANDS LÄN</t>
        </is>
      </c>
      <c r="E210" t="inlineStr">
        <is>
          <t>MOTALA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41901-2022</t>
        </is>
      </c>
      <c r="B211" s="1" t="n">
        <v>44830.34822916667</v>
      </c>
      <c r="C211" s="1" t="n">
        <v>46112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44861-2024</t>
        </is>
      </c>
      <c r="B212" s="1" t="n">
        <v>45575.31537037037</v>
      </c>
      <c r="C212" s="1" t="n">
        <v>46112</v>
      </c>
      <c r="D212" t="inlineStr">
        <is>
          <t>ÖSTERGÖTLANDS LÄN</t>
        </is>
      </c>
      <c r="E212" t="inlineStr">
        <is>
          <t>MOTALA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11318-2026</t>
        </is>
      </c>
      <c r="B213" s="1" t="n">
        <v>46080.68768518518</v>
      </c>
      <c r="C213" s="1" t="n">
        <v>46112</v>
      </c>
      <c r="D213" t="inlineStr">
        <is>
          <t>ÖSTERGÖTLANDS LÄN</t>
        </is>
      </c>
      <c r="E213" t="inlineStr">
        <is>
          <t>MOTALA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11320-2026</t>
        </is>
      </c>
      <c r="B214" s="1" t="n">
        <v>46080.69315972222</v>
      </c>
      <c r="C214" s="1" t="n">
        <v>46112</v>
      </c>
      <c r="D214" t="inlineStr">
        <is>
          <t>ÖSTERGÖTLANDS LÄN</t>
        </is>
      </c>
      <c r="E214" t="inlineStr">
        <is>
          <t>MOTALA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11404-2026</t>
        </is>
      </c>
      <c r="B215" s="1" t="n">
        <v>46083.45348379629</v>
      </c>
      <c r="C215" s="1" t="n">
        <v>46112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9.199999999999999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11463-2025</t>
        </is>
      </c>
      <c r="B216" s="1" t="n">
        <v>45726.65693287037</v>
      </c>
      <c r="C216" s="1" t="n">
        <v>46112</v>
      </c>
      <c r="D216" t="inlineStr">
        <is>
          <t>ÖSTERGÖTLANDS LÄN</t>
        </is>
      </c>
      <c r="E216" t="inlineStr">
        <is>
          <t>MOTALA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13422-2022</t>
        </is>
      </c>
      <c r="B217" s="1" t="n">
        <v>44645</v>
      </c>
      <c r="C217" s="1" t="n">
        <v>46112</v>
      </c>
      <c r="D217" t="inlineStr">
        <is>
          <t>ÖSTERGÖTLANDS LÄN</t>
        </is>
      </c>
      <c r="E217" t="inlineStr">
        <is>
          <t>MOTALA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41924-2022</t>
        </is>
      </c>
      <c r="B218" s="1" t="n">
        <v>44830.36934027778</v>
      </c>
      <c r="C218" s="1" t="n">
        <v>46112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41925-2022</t>
        </is>
      </c>
      <c r="B219" s="1" t="n">
        <v>44830.37002314815</v>
      </c>
      <c r="C219" s="1" t="n">
        <v>46112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41929-2022</t>
        </is>
      </c>
      <c r="B220" s="1" t="n">
        <v>44830.37288194444</v>
      </c>
      <c r="C220" s="1" t="n">
        <v>46112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3338-2026</t>
        </is>
      </c>
      <c r="B221" s="1" t="n">
        <v>46041.8458912037</v>
      </c>
      <c r="C221" s="1" t="n">
        <v>46112</v>
      </c>
      <c r="D221" t="inlineStr">
        <is>
          <t>ÖSTERGÖTLANDS LÄN</t>
        </is>
      </c>
      <c r="E221" t="inlineStr">
        <is>
          <t>MOTALA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7051-2024</t>
        </is>
      </c>
      <c r="B222" s="1" t="n">
        <v>45343.63946759259</v>
      </c>
      <c r="C222" s="1" t="n">
        <v>46112</v>
      </c>
      <c r="D222" t="inlineStr">
        <is>
          <t>ÖSTERGÖTLANDS LÄN</t>
        </is>
      </c>
      <c r="E222" t="inlineStr">
        <is>
          <t>MOTALA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45099-2023</t>
        </is>
      </c>
      <c r="B223" s="1" t="n">
        <v>45187</v>
      </c>
      <c r="C223" s="1" t="n">
        <v>46112</v>
      </c>
      <c r="D223" t="inlineStr">
        <is>
          <t>ÖSTERGÖTLANDS LÄN</t>
        </is>
      </c>
      <c r="E223" t="inlineStr">
        <is>
          <t>MOTALA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43530-2025</t>
        </is>
      </c>
      <c r="B224" s="1" t="n">
        <v>45911.59302083333</v>
      </c>
      <c r="C224" s="1" t="n">
        <v>46112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11473-2025</t>
        </is>
      </c>
      <c r="B225" s="1" t="n">
        <v>45726.66458333333</v>
      </c>
      <c r="C225" s="1" t="n">
        <v>46112</v>
      </c>
      <c r="D225" t="inlineStr">
        <is>
          <t>ÖSTERGÖTLANDS LÄN</t>
        </is>
      </c>
      <c r="E225" t="inlineStr">
        <is>
          <t>MOTALA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11061-2022</t>
        </is>
      </c>
      <c r="B226" s="1" t="n">
        <v>44628</v>
      </c>
      <c r="C226" s="1" t="n">
        <v>46112</v>
      </c>
      <c r="D226" t="inlineStr">
        <is>
          <t>ÖSTERGÖTLANDS LÄN</t>
        </is>
      </c>
      <c r="E226" t="inlineStr">
        <is>
          <t>MOTALA</t>
        </is>
      </c>
      <c r="F226" t="inlineStr">
        <is>
          <t>Allmännings- och besparingsskogar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26350-2025</t>
        </is>
      </c>
      <c r="B227" s="1" t="n">
        <v>45805</v>
      </c>
      <c r="C227" s="1" t="n">
        <v>46112</v>
      </c>
      <c r="D227" t="inlineStr">
        <is>
          <t>ÖSTERGÖTLANDS LÄN</t>
        </is>
      </c>
      <c r="E227" t="inlineStr">
        <is>
          <t>MOTALA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25599-2025</t>
        </is>
      </c>
      <c r="B228" s="1" t="n">
        <v>45803</v>
      </c>
      <c r="C228" s="1" t="n">
        <v>46112</v>
      </c>
      <c r="D228" t="inlineStr">
        <is>
          <t>ÖSTERGÖTLANDS LÄN</t>
        </is>
      </c>
      <c r="E228" t="inlineStr">
        <is>
          <t>MOTALA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24507-2025</t>
        </is>
      </c>
      <c r="B229" s="1" t="n">
        <v>45798</v>
      </c>
      <c r="C229" s="1" t="n">
        <v>46112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57992-2021</t>
        </is>
      </c>
      <c r="B230" s="1" t="n">
        <v>44487</v>
      </c>
      <c r="C230" s="1" t="n">
        <v>46112</v>
      </c>
      <c r="D230" t="inlineStr">
        <is>
          <t>ÖSTERGÖTLANDS LÄN</t>
        </is>
      </c>
      <c r="E230" t="inlineStr">
        <is>
          <t>MOTALA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3340-2026</t>
        </is>
      </c>
      <c r="B231" s="1" t="n">
        <v>46041.85267361111</v>
      </c>
      <c r="C231" s="1" t="n">
        <v>46112</v>
      </c>
      <c r="D231" t="inlineStr">
        <is>
          <t>ÖSTERGÖTLANDS LÄN</t>
        </is>
      </c>
      <c r="E231" t="inlineStr">
        <is>
          <t>MOTALA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35794-2025</t>
        </is>
      </c>
      <c r="B232" s="1" t="n">
        <v>45861</v>
      </c>
      <c r="C232" s="1" t="n">
        <v>46112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35796-2025</t>
        </is>
      </c>
      <c r="B233" s="1" t="n">
        <v>45861</v>
      </c>
      <c r="C233" s="1" t="n">
        <v>46112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6990-2023</t>
        </is>
      </c>
      <c r="B234" s="1" t="n">
        <v>44967.70900462963</v>
      </c>
      <c r="C234" s="1" t="n">
        <v>46112</v>
      </c>
      <c r="D234" t="inlineStr">
        <is>
          <t>ÖSTERGÖTLANDS LÄN</t>
        </is>
      </c>
      <c r="E234" t="inlineStr">
        <is>
          <t>MOTALA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6992-2023</t>
        </is>
      </c>
      <c r="B235" s="1" t="n">
        <v>44967.72672453704</v>
      </c>
      <c r="C235" s="1" t="n">
        <v>46112</v>
      </c>
      <c r="D235" t="inlineStr">
        <is>
          <t>ÖSTERGÖTLANDS LÄN</t>
        </is>
      </c>
      <c r="E235" t="inlineStr">
        <is>
          <t>MOTALA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23794-2025</t>
        </is>
      </c>
      <c r="B236" s="1" t="n">
        <v>45793.54444444444</v>
      </c>
      <c r="C236" s="1" t="n">
        <v>46112</v>
      </c>
      <c r="D236" t="inlineStr">
        <is>
          <t>ÖSTERGÖTLANDS LÄN</t>
        </is>
      </c>
      <c r="E236" t="inlineStr">
        <is>
          <t>MOTALA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15543-2025</t>
        </is>
      </c>
      <c r="B237" s="1" t="n">
        <v>45747.65809027778</v>
      </c>
      <c r="C237" s="1" t="n">
        <v>46112</v>
      </c>
      <c r="D237" t="inlineStr">
        <is>
          <t>ÖSTERGÖTLANDS LÄN</t>
        </is>
      </c>
      <c r="E237" t="inlineStr">
        <is>
          <t>MOTALA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44814-2025</t>
        </is>
      </c>
      <c r="B238" s="1" t="n">
        <v>45918.37381944444</v>
      </c>
      <c r="C238" s="1" t="n">
        <v>46112</v>
      </c>
      <c r="D238" t="inlineStr">
        <is>
          <t>ÖSTERGÖTLANDS LÄN</t>
        </is>
      </c>
      <c r="E238" t="inlineStr">
        <is>
          <t>MOTALA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50082-2022</t>
        </is>
      </c>
      <c r="B239" s="1" t="n">
        <v>44865</v>
      </c>
      <c r="C239" s="1" t="n">
        <v>46112</v>
      </c>
      <c r="D239" t="inlineStr">
        <is>
          <t>ÖSTERGÖTLANDS LÄN</t>
        </is>
      </c>
      <c r="E239" t="inlineStr">
        <is>
          <t>MOTALA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60610-2022</t>
        </is>
      </c>
      <c r="B240" s="1" t="n">
        <v>44911</v>
      </c>
      <c r="C240" s="1" t="n">
        <v>46112</v>
      </c>
      <c r="D240" t="inlineStr">
        <is>
          <t>ÖSTERGÖTLANDS LÄN</t>
        </is>
      </c>
      <c r="E240" t="inlineStr">
        <is>
          <t>MOTALA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45790-2025</t>
        </is>
      </c>
      <c r="B241" s="1" t="n">
        <v>45923.56734953704</v>
      </c>
      <c r="C241" s="1" t="n">
        <v>46112</v>
      </c>
      <c r="D241" t="inlineStr">
        <is>
          <t>ÖSTERGÖTLANDS LÄN</t>
        </is>
      </c>
      <c r="E241" t="inlineStr">
        <is>
          <t>MOTALA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55395-2022</t>
        </is>
      </c>
      <c r="B242" s="1" t="n">
        <v>44887</v>
      </c>
      <c r="C242" s="1" t="n">
        <v>46112</v>
      </c>
      <c r="D242" t="inlineStr">
        <is>
          <t>ÖSTERGÖTLANDS LÄN</t>
        </is>
      </c>
      <c r="E242" t="inlineStr">
        <is>
          <t>MOTALA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1301-2023</t>
        </is>
      </c>
      <c r="B243" s="1" t="n">
        <v>44931</v>
      </c>
      <c r="C243" s="1" t="n">
        <v>46112</v>
      </c>
      <c r="D243" t="inlineStr">
        <is>
          <t>ÖSTERGÖTLANDS LÄN</t>
        </is>
      </c>
      <c r="E243" t="inlineStr">
        <is>
          <t>MOTALA</t>
        </is>
      </c>
      <c r="F243" t="inlineStr">
        <is>
          <t>Övriga statliga verk och myndigheter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44868-2024</t>
        </is>
      </c>
      <c r="B244" s="1" t="n">
        <v>45575.33030092593</v>
      </c>
      <c r="C244" s="1" t="n">
        <v>46112</v>
      </c>
      <c r="D244" t="inlineStr">
        <is>
          <t>ÖSTERGÖTLANDS LÄN</t>
        </is>
      </c>
      <c r="E244" t="inlineStr">
        <is>
          <t>MOTALA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28202-2023</t>
        </is>
      </c>
      <c r="B245" s="1" t="n">
        <v>45099</v>
      </c>
      <c r="C245" s="1" t="n">
        <v>46112</v>
      </c>
      <c r="D245" t="inlineStr">
        <is>
          <t>ÖSTERGÖTLANDS LÄN</t>
        </is>
      </c>
      <c r="E245" t="inlineStr">
        <is>
          <t>MOTALA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1696-2025</t>
        </is>
      </c>
      <c r="B246" s="1" t="n">
        <v>45670</v>
      </c>
      <c r="C246" s="1" t="n">
        <v>46112</v>
      </c>
      <c r="D246" t="inlineStr">
        <is>
          <t>ÖSTERGÖTLANDS LÄN</t>
        </is>
      </c>
      <c r="E246" t="inlineStr">
        <is>
          <t>MOTALA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19267-2025</t>
        </is>
      </c>
      <c r="B247" s="1" t="n">
        <v>45769.51258101852</v>
      </c>
      <c r="C247" s="1" t="n">
        <v>46112</v>
      </c>
      <c r="D247" t="inlineStr">
        <is>
          <t>ÖSTERGÖTLANDS LÄN</t>
        </is>
      </c>
      <c r="E247" t="inlineStr">
        <is>
          <t>MOTALA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5773-2024</t>
        </is>
      </c>
      <c r="B248" s="1" t="n">
        <v>45335.39863425926</v>
      </c>
      <c r="C248" s="1" t="n">
        <v>46112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5528-2025</t>
        </is>
      </c>
      <c r="B249" s="1" t="n">
        <v>45693.43223379629</v>
      </c>
      <c r="C249" s="1" t="n">
        <v>46112</v>
      </c>
      <c r="D249" t="inlineStr">
        <is>
          <t>ÖSTERGÖTLANDS LÄN</t>
        </is>
      </c>
      <c r="E249" t="inlineStr">
        <is>
          <t>MOTALA</t>
        </is>
      </c>
      <c r="F249" t="inlineStr">
        <is>
          <t>Allmännings- och besparingsskogar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22108-2023</t>
        </is>
      </c>
      <c r="B250" s="1" t="n">
        <v>45069.55658564815</v>
      </c>
      <c r="C250" s="1" t="n">
        <v>46112</v>
      </c>
      <c r="D250" t="inlineStr">
        <is>
          <t>ÖSTERGÖTLANDS LÄN</t>
        </is>
      </c>
      <c r="E250" t="inlineStr">
        <is>
          <t>MOTALA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21046-2024</t>
        </is>
      </c>
      <c r="B251" s="1" t="n">
        <v>45439.67248842592</v>
      </c>
      <c r="C251" s="1" t="n">
        <v>46112</v>
      </c>
      <c r="D251" t="inlineStr">
        <is>
          <t>ÖSTERGÖTLANDS LÄN</t>
        </is>
      </c>
      <c r="E251" t="inlineStr">
        <is>
          <t>MOTALA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46991-2025</t>
        </is>
      </c>
      <c r="B252" s="1" t="n">
        <v>45929.54412037037</v>
      </c>
      <c r="C252" s="1" t="n">
        <v>46112</v>
      </c>
      <c r="D252" t="inlineStr">
        <is>
          <t>ÖSTERGÖTLANDS LÄN</t>
        </is>
      </c>
      <c r="E252" t="inlineStr">
        <is>
          <t>MOTALA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46994-2025</t>
        </is>
      </c>
      <c r="B253" s="1" t="n">
        <v>45929.54755787037</v>
      </c>
      <c r="C253" s="1" t="n">
        <v>46112</v>
      </c>
      <c r="D253" t="inlineStr">
        <is>
          <t>ÖSTERGÖTLANDS LÄN</t>
        </is>
      </c>
      <c r="E253" t="inlineStr">
        <is>
          <t>MOTALA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46561-2025</t>
        </is>
      </c>
      <c r="B254" s="1" t="n">
        <v>45926.35297453704</v>
      </c>
      <c r="C254" s="1" t="n">
        <v>46112</v>
      </c>
      <c r="D254" t="inlineStr">
        <is>
          <t>ÖSTERGÖTLANDS LÄN</t>
        </is>
      </c>
      <c r="E254" t="inlineStr">
        <is>
          <t>MOTALA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50180-2023</t>
        </is>
      </c>
      <c r="B255" s="1" t="n">
        <v>45215</v>
      </c>
      <c r="C255" s="1" t="n">
        <v>46112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50126-2023</t>
        </is>
      </c>
      <c r="B256" s="1" t="n">
        <v>45215.64910879629</v>
      </c>
      <c r="C256" s="1" t="n">
        <v>46112</v>
      </c>
      <c r="D256" t="inlineStr">
        <is>
          <t>ÖSTERGÖTLANDS LÄN</t>
        </is>
      </c>
      <c r="E256" t="inlineStr">
        <is>
          <t>MOTALA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11295-2025</t>
        </is>
      </c>
      <c r="B257" s="1" t="n">
        <v>45726.43296296296</v>
      </c>
      <c r="C257" s="1" t="n">
        <v>46112</v>
      </c>
      <c r="D257" t="inlineStr">
        <is>
          <t>ÖSTERGÖTLANDS LÄN</t>
        </is>
      </c>
      <c r="E257" t="inlineStr">
        <is>
          <t>MOTALA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47625-2025</t>
        </is>
      </c>
      <c r="B258" s="1" t="n">
        <v>45931.48486111111</v>
      </c>
      <c r="C258" s="1" t="n">
        <v>46112</v>
      </c>
      <c r="D258" t="inlineStr">
        <is>
          <t>ÖSTERGÖTLANDS LÄN</t>
        </is>
      </c>
      <c r="E258" t="inlineStr">
        <is>
          <t>MOTALA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47278-2025</t>
        </is>
      </c>
      <c r="B259" s="1" t="n">
        <v>45930.47261574074</v>
      </c>
      <c r="C259" s="1" t="n">
        <v>46112</v>
      </c>
      <c r="D259" t="inlineStr">
        <is>
          <t>ÖSTERGÖTLANDS LÄN</t>
        </is>
      </c>
      <c r="E259" t="inlineStr">
        <is>
          <t>MOTALA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47282-2025</t>
        </is>
      </c>
      <c r="B260" s="1" t="n">
        <v>45930.47936342593</v>
      </c>
      <c r="C260" s="1" t="n">
        <v>46112</v>
      </c>
      <c r="D260" t="inlineStr">
        <is>
          <t>ÖSTERGÖTLANDS LÄN</t>
        </is>
      </c>
      <c r="E260" t="inlineStr">
        <is>
          <t>MOTALA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47351-2025</t>
        </is>
      </c>
      <c r="B261" s="1" t="n">
        <v>45930.57724537037</v>
      </c>
      <c r="C261" s="1" t="n">
        <v>46112</v>
      </c>
      <c r="D261" t="inlineStr">
        <is>
          <t>ÖSTERGÖTLANDS LÄN</t>
        </is>
      </c>
      <c r="E261" t="inlineStr">
        <is>
          <t>MOTALA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47359-2025</t>
        </is>
      </c>
      <c r="B262" s="1" t="n">
        <v>45930.58170138889</v>
      </c>
      <c r="C262" s="1" t="n">
        <v>46112</v>
      </c>
      <c r="D262" t="inlineStr">
        <is>
          <t>ÖSTERGÖTLANDS LÄN</t>
        </is>
      </c>
      <c r="E262" t="inlineStr">
        <is>
          <t>MOTALA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4743-2022</t>
        </is>
      </c>
      <c r="B263" s="1" t="n">
        <v>44592.5737962963</v>
      </c>
      <c r="C263" s="1" t="n">
        <v>46112</v>
      </c>
      <c r="D263" t="inlineStr">
        <is>
          <t>ÖSTERGÖTLANDS LÄN</t>
        </is>
      </c>
      <c r="E263" t="inlineStr">
        <is>
          <t>MOTALA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47362-2025</t>
        </is>
      </c>
      <c r="B264" s="1" t="n">
        <v>45930.58704861111</v>
      </c>
      <c r="C264" s="1" t="n">
        <v>46112</v>
      </c>
      <c r="D264" t="inlineStr">
        <is>
          <t>ÖSTERGÖTLANDS LÄN</t>
        </is>
      </c>
      <c r="E264" t="inlineStr">
        <is>
          <t>MOTALA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26216-2025</t>
        </is>
      </c>
      <c r="B265" s="1" t="n">
        <v>45805.54620370371</v>
      </c>
      <c r="C265" s="1" t="n">
        <v>46112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47326-2025</t>
        </is>
      </c>
      <c r="B266" s="1" t="n">
        <v>45930.56010416667</v>
      </c>
      <c r="C266" s="1" t="n">
        <v>46112</v>
      </c>
      <c r="D266" t="inlineStr">
        <is>
          <t>ÖSTERGÖTLANDS LÄN</t>
        </is>
      </c>
      <c r="E266" t="inlineStr">
        <is>
          <t>MOTALA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47657-2025</t>
        </is>
      </c>
      <c r="B267" s="1" t="n">
        <v>45931.55253472222</v>
      </c>
      <c r="C267" s="1" t="n">
        <v>46112</v>
      </c>
      <c r="D267" t="inlineStr">
        <is>
          <t>ÖSTERGÖTLANDS LÄN</t>
        </is>
      </c>
      <c r="E267" t="inlineStr">
        <is>
          <t>MOTALA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37618-2025</t>
        </is>
      </c>
      <c r="B268" s="1" t="n">
        <v>45880.44321759259</v>
      </c>
      <c r="C268" s="1" t="n">
        <v>46112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47381-2025</t>
        </is>
      </c>
      <c r="B269" s="1" t="n">
        <v>45930.5966550926</v>
      </c>
      <c r="C269" s="1" t="n">
        <v>46112</v>
      </c>
      <c r="D269" t="inlineStr">
        <is>
          <t>ÖSTERGÖTLANDS LÄN</t>
        </is>
      </c>
      <c r="E269" t="inlineStr">
        <is>
          <t>MOTALA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45237-2024</t>
        </is>
      </c>
      <c r="B270" s="1" t="n">
        <v>45575.87788194444</v>
      </c>
      <c r="C270" s="1" t="n">
        <v>46112</v>
      </c>
      <c r="D270" t="inlineStr">
        <is>
          <t>ÖSTERGÖTLANDS LÄN</t>
        </is>
      </c>
      <c r="E270" t="inlineStr">
        <is>
          <t>MOTALA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47628-2025</t>
        </is>
      </c>
      <c r="B271" s="1" t="n">
        <v>45931.4877662037</v>
      </c>
      <c r="C271" s="1" t="n">
        <v>46112</v>
      </c>
      <c r="D271" t="inlineStr">
        <is>
          <t>ÖSTERGÖTLANDS LÄN</t>
        </is>
      </c>
      <c r="E271" t="inlineStr">
        <is>
          <t>MOTALA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47369-2025</t>
        </is>
      </c>
      <c r="B272" s="1" t="n">
        <v>45930.59270833333</v>
      </c>
      <c r="C272" s="1" t="n">
        <v>46112</v>
      </c>
      <c r="D272" t="inlineStr">
        <is>
          <t>ÖSTERGÖTLANDS LÄN</t>
        </is>
      </c>
      <c r="E272" t="inlineStr">
        <is>
          <t>MOTALA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48256-2025</t>
        </is>
      </c>
      <c r="B273" s="1" t="n">
        <v>45933.55480324074</v>
      </c>
      <c r="C273" s="1" t="n">
        <v>46112</v>
      </c>
      <c r="D273" t="inlineStr">
        <is>
          <t>ÖSTERGÖTLANDS LÄN</t>
        </is>
      </c>
      <c r="E273" t="inlineStr">
        <is>
          <t>MOTALA</t>
        </is>
      </c>
      <c r="F273" t="inlineStr">
        <is>
          <t>Sveaskog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48248-2025</t>
        </is>
      </c>
      <c r="B274" s="1" t="n">
        <v>45933.55230324074</v>
      </c>
      <c r="C274" s="1" t="n">
        <v>46112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48258-2025</t>
        </is>
      </c>
      <c r="B275" s="1" t="n">
        <v>45933.55594907407</v>
      </c>
      <c r="C275" s="1" t="n">
        <v>46112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47895-2025</t>
        </is>
      </c>
      <c r="B276" s="1" t="n">
        <v>45932.48122685185</v>
      </c>
      <c r="C276" s="1" t="n">
        <v>46112</v>
      </c>
      <c r="D276" t="inlineStr">
        <is>
          <t>ÖSTERGÖTLANDS LÄN</t>
        </is>
      </c>
      <c r="E276" t="inlineStr">
        <is>
          <t>MOTALA</t>
        </is>
      </c>
      <c r="F276" t="inlineStr">
        <is>
          <t>Allmännings- och besparingsskogar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37129-2023</t>
        </is>
      </c>
      <c r="B277" s="1" t="n">
        <v>45155.57263888889</v>
      </c>
      <c r="C277" s="1" t="n">
        <v>46112</v>
      </c>
      <c r="D277" t="inlineStr">
        <is>
          <t>ÖSTERGÖTLANDS LÄN</t>
        </is>
      </c>
      <c r="E277" t="inlineStr">
        <is>
          <t>MOTALA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54125-2022</t>
        </is>
      </c>
      <c r="B278" s="1" t="n">
        <v>44881.58206018519</v>
      </c>
      <c r="C278" s="1" t="n">
        <v>46112</v>
      </c>
      <c r="D278" t="inlineStr">
        <is>
          <t>ÖSTERGÖTLANDS LÄN</t>
        </is>
      </c>
      <c r="E278" t="inlineStr">
        <is>
          <t>MOTALA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49627-2021</t>
        </is>
      </c>
      <c r="B279" s="1" t="n">
        <v>44455</v>
      </c>
      <c r="C279" s="1" t="n">
        <v>46112</v>
      </c>
      <c r="D279" t="inlineStr">
        <is>
          <t>ÖSTERGÖTLANDS LÄN</t>
        </is>
      </c>
      <c r="E279" t="inlineStr">
        <is>
          <t>MOTALA</t>
        </is>
      </c>
      <c r="G279" t="n">
        <v>14.2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55025-2024</t>
        </is>
      </c>
      <c r="B280" s="1" t="n">
        <v>45621</v>
      </c>
      <c r="C280" s="1" t="n">
        <v>46112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3979-2025</t>
        </is>
      </c>
      <c r="B281" s="1" t="n">
        <v>45684.5433449074</v>
      </c>
      <c r="C281" s="1" t="n">
        <v>46112</v>
      </c>
      <c r="D281" t="inlineStr">
        <is>
          <t>ÖSTERGÖTLANDS LÄN</t>
        </is>
      </c>
      <c r="E281" t="inlineStr">
        <is>
          <t>MOTALA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29615-2024</t>
        </is>
      </c>
      <c r="B282" s="1" t="n">
        <v>45484.64741898148</v>
      </c>
      <c r="C282" s="1" t="n">
        <v>46112</v>
      </c>
      <c r="D282" t="inlineStr">
        <is>
          <t>ÖSTERGÖTLANDS LÄN</t>
        </is>
      </c>
      <c r="E282" t="inlineStr">
        <is>
          <t>MOTALA</t>
        </is>
      </c>
      <c r="F282" t="inlineStr">
        <is>
          <t>Holmen skog AB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41-2025</t>
        </is>
      </c>
      <c r="B283" s="1" t="n">
        <v>45659.34769675926</v>
      </c>
      <c r="C283" s="1" t="n">
        <v>46112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48845-2025</t>
        </is>
      </c>
      <c r="B284" s="1" t="n">
        <v>45937.42811342593</v>
      </c>
      <c r="C284" s="1" t="n">
        <v>46112</v>
      </c>
      <c r="D284" t="inlineStr">
        <is>
          <t>ÖSTERGÖTLANDS LÄN</t>
        </is>
      </c>
      <c r="E284" t="inlineStr">
        <is>
          <t>MOTALA</t>
        </is>
      </c>
      <c r="F284" t="inlineStr">
        <is>
          <t>Allmännings- och besparingsskogar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64186-2023</t>
        </is>
      </c>
      <c r="B285" s="1" t="n">
        <v>45279.66266203704</v>
      </c>
      <c r="C285" s="1" t="n">
        <v>46112</v>
      </c>
      <c r="D285" t="inlineStr">
        <is>
          <t>ÖSTERGÖTLANDS LÄN</t>
        </is>
      </c>
      <c r="E285" t="inlineStr">
        <is>
          <t>MOTALA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12680-2026</t>
        </is>
      </c>
      <c r="B286" s="1" t="n">
        <v>46091.55358796296</v>
      </c>
      <c r="C286" s="1" t="n">
        <v>46112</v>
      </c>
      <c r="D286" t="inlineStr">
        <is>
          <t>ÖSTERGÖTLANDS LÄN</t>
        </is>
      </c>
      <c r="E286" t="inlineStr">
        <is>
          <t>MOTALA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12627-2026</t>
        </is>
      </c>
      <c r="B287" s="1" t="n">
        <v>46091.44170138889</v>
      </c>
      <c r="C287" s="1" t="n">
        <v>46112</v>
      </c>
      <c r="D287" t="inlineStr">
        <is>
          <t>ÖSTERGÖTLANDS LÄN</t>
        </is>
      </c>
      <c r="E287" t="inlineStr">
        <is>
          <t>MOTALA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12639-2026</t>
        </is>
      </c>
      <c r="B288" s="1" t="n">
        <v>46091.4640162037</v>
      </c>
      <c r="C288" s="1" t="n">
        <v>46112</v>
      </c>
      <c r="D288" t="inlineStr">
        <is>
          <t>ÖSTERGÖTLANDS LÄN</t>
        </is>
      </c>
      <c r="E288" t="inlineStr">
        <is>
          <t>MOTALA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48684-2024</t>
        </is>
      </c>
      <c r="B289" s="1" t="n">
        <v>45593.49686342593</v>
      </c>
      <c r="C289" s="1" t="n">
        <v>46112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49456-2025</t>
        </is>
      </c>
      <c r="B290" s="1" t="n">
        <v>45939.27697916667</v>
      </c>
      <c r="C290" s="1" t="n">
        <v>46112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49147-2025</t>
        </is>
      </c>
      <c r="B291" s="1" t="n">
        <v>45938.33863425926</v>
      </c>
      <c r="C291" s="1" t="n">
        <v>46112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49149-2025</t>
        </is>
      </c>
      <c r="B292" s="1" t="n">
        <v>45938.33969907407</v>
      </c>
      <c r="C292" s="1" t="n">
        <v>46112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31753-2022</t>
        </is>
      </c>
      <c r="B293" s="1" t="n">
        <v>44776</v>
      </c>
      <c r="C293" s="1" t="n">
        <v>46112</v>
      </c>
      <c r="D293" t="inlineStr">
        <is>
          <t>ÖSTERGÖTLANDS LÄN</t>
        </is>
      </c>
      <c r="E293" t="inlineStr">
        <is>
          <t>MOTALA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49732-2025</t>
        </is>
      </c>
      <c r="B294" s="1" t="n">
        <v>45939.98322916667</v>
      </c>
      <c r="C294" s="1" t="n">
        <v>46112</v>
      </c>
      <c r="D294" t="inlineStr">
        <is>
          <t>ÖSTERGÖTLANDS LÄN</t>
        </is>
      </c>
      <c r="E294" t="inlineStr">
        <is>
          <t>MOTALA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3711-2023</t>
        </is>
      </c>
      <c r="B295" s="1" t="n">
        <v>44951.33428240741</v>
      </c>
      <c r="C295" s="1" t="n">
        <v>46112</v>
      </c>
      <c r="D295" t="inlineStr">
        <is>
          <t>ÖSTERGÖTLANDS LÄN</t>
        </is>
      </c>
      <c r="E295" t="inlineStr">
        <is>
          <t>MOTALA</t>
        </is>
      </c>
      <c r="F295" t="inlineStr">
        <is>
          <t>Holmen skog AB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50090-2025</t>
        </is>
      </c>
      <c r="B296" s="1" t="n">
        <v>45943.4846412037</v>
      </c>
      <c r="C296" s="1" t="n">
        <v>46112</v>
      </c>
      <c r="D296" t="inlineStr">
        <is>
          <t>ÖSTERGÖTLANDS LÄN</t>
        </is>
      </c>
      <c r="E296" t="inlineStr">
        <is>
          <t>MOTALA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8111-2024</t>
        </is>
      </c>
      <c r="B297" s="1" t="n">
        <v>45351.49194444445</v>
      </c>
      <c r="C297" s="1" t="n">
        <v>46112</v>
      </c>
      <c r="D297" t="inlineStr">
        <is>
          <t>ÖSTERGÖTLANDS LÄN</t>
        </is>
      </c>
      <c r="E297" t="inlineStr">
        <is>
          <t>MOTALA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4756-2026</t>
        </is>
      </c>
      <c r="B298" s="1" t="n">
        <v>46048.53270833333</v>
      </c>
      <c r="C298" s="1" t="n">
        <v>46112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4759-2026</t>
        </is>
      </c>
      <c r="B299" s="1" t="n">
        <v>46048.53619212963</v>
      </c>
      <c r="C299" s="1" t="n">
        <v>46112</v>
      </c>
      <c r="D299" t="inlineStr">
        <is>
          <t>ÖSTERGÖTLANDS LÄN</t>
        </is>
      </c>
      <c r="E299" t="inlineStr">
        <is>
          <t>MOTALA</t>
        </is>
      </c>
      <c r="F299" t="inlineStr">
        <is>
          <t>Sveaskog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40191-2021</t>
        </is>
      </c>
      <c r="B300" s="1" t="n">
        <v>44418</v>
      </c>
      <c r="C300" s="1" t="n">
        <v>46112</v>
      </c>
      <c r="D300" t="inlineStr">
        <is>
          <t>ÖSTERGÖTLANDS LÄN</t>
        </is>
      </c>
      <c r="E300" t="inlineStr">
        <is>
          <t>MOTALA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20356-2025</t>
        </is>
      </c>
      <c r="B301" s="1" t="n">
        <v>45775.3942824074</v>
      </c>
      <c r="C301" s="1" t="n">
        <v>46112</v>
      </c>
      <c r="D301" t="inlineStr">
        <is>
          <t>ÖSTERGÖTLANDS LÄN</t>
        </is>
      </c>
      <c r="E301" t="inlineStr">
        <is>
          <t>MOTALA</t>
        </is>
      </c>
      <c r="F301" t="inlineStr">
        <is>
          <t>Sveaskog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31441-2023</t>
        </is>
      </c>
      <c r="B302" s="1" t="n">
        <v>45114.6471875</v>
      </c>
      <c r="C302" s="1" t="n">
        <v>46112</v>
      </c>
      <c r="D302" t="inlineStr">
        <is>
          <t>ÖSTERGÖTLANDS LÄN</t>
        </is>
      </c>
      <c r="E302" t="inlineStr">
        <is>
          <t>MOTALA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50514-2025</t>
        </is>
      </c>
      <c r="B303" s="1" t="n">
        <v>45945.44903935185</v>
      </c>
      <c r="C303" s="1" t="n">
        <v>46112</v>
      </c>
      <c r="D303" t="inlineStr">
        <is>
          <t>ÖSTERGÖTLANDS LÄN</t>
        </is>
      </c>
      <c r="E303" t="inlineStr">
        <is>
          <t>MOTALA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4761-2026</t>
        </is>
      </c>
      <c r="B304" s="1" t="n">
        <v>46048.53760416667</v>
      </c>
      <c r="C304" s="1" t="n">
        <v>46112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24701-2024</t>
        </is>
      </c>
      <c r="B305" s="1" t="n">
        <v>45460.61841435185</v>
      </c>
      <c r="C305" s="1" t="n">
        <v>46112</v>
      </c>
      <c r="D305" t="inlineStr">
        <is>
          <t>ÖSTERGÖTLANDS LÄN</t>
        </is>
      </c>
      <c r="E305" t="inlineStr">
        <is>
          <t>MOTALA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50509-2025</t>
        </is>
      </c>
      <c r="B306" s="1" t="n">
        <v>45945.43571759259</v>
      </c>
      <c r="C306" s="1" t="n">
        <v>46112</v>
      </c>
      <c r="D306" t="inlineStr">
        <is>
          <t>ÖSTERGÖTLANDS LÄN</t>
        </is>
      </c>
      <c r="E306" t="inlineStr">
        <is>
          <t>MOTALA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12642-2026</t>
        </is>
      </c>
      <c r="B307" s="1" t="n">
        <v>46091.46800925926</v>
      </c>
      <c r="C307" s="1" t="n">
        <v>46112</v>
      </c>
      <c r="D307" t="inlineStr">
        <is>
          <t>ÖSTERGÖTLANDS LÄN</t>
        </is>
      </c>
      <c r="E307" t="inlineStr">
        <is>
          <t>MOTALA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50786-2025</t>
        </is>
      </c>
      <c r="B308" s="1" t="n">
        <v>45946.46980324074</v>
      </c>
      <c r="C308" s="1" t="n">
        <v>46112</v>
      </c>
      <c r="D308" t="inlineStr">
        <is>
          <t>ÖSTERGÖTLANDS LÄN</t>
        </is>
      </c>
      <c r="E308" t="inlineStr">
        <is>
          <t>MOTALA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22113-2023</t>
        </is>
      </c>
      <c r="B309" s="1" t="n">
        <v>45069</v>
      </c>
      <c r="C309" s="1" t="n">
        <v>46112</v>
      </c>
      <c r="D309" t="inlineStr">
        <is>
          <t>ÖSTERGÖTLANDS LÄN</t>
        </is>
      </c>
      <c r="E309" t="inlineStr">
        <is>
          <t>MOTALA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53820-2024</t>
        </is>
      </c>
      <c r="B310" s="1" t="n">
        <v>45615.60596064815</v>
      </c>
      <c r="C310" s="1" t="n">
        <v>46112</v>
      </c>
      <c r="D310" t="inlineStr">
        <is>
          <t>ÖSTERGÖTLANDS LÄN</t>
        </is>
      </c>
      <c r="E310" t="inlineStr">
        <is>
          <t>MOTALA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12968-2026</t>
        </is>
      </c>
      <c r="B311" s="1" t="n">
        <v>46092</v>
      </c>
      <c r="C311" s="1" t="n">
        <v>46112</v>
      </c>
      <c r="D311" t="inlineStr">
        <is>
          <t>ÖSTERGÖTLANDS LÄN</t>
        </is>
      </c>
      <c r="E311" t="inlineStr">
        <is>
          <t>MOTALA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27220-2023</t>
        </is>
      </c>
      <c r="B312" s="1" t="n">
        <v>45092</v>
      </c>
      <c r="C312" s="1" t="n">
        <v>46112</v>
      </c>
      <c r="D312" t="inlineStr">
        <is>
          <t>ÖSTERGÖTLANDS LÄN</t>
        </is>
      </c>
      <c r="E312" t="inlineStr">
        <is>
          <t>MOTALA</t>
        </is>
      </c>
      <c r="F312" t="inlineStr">
        <is>
          <t>Övriga statliga verk och myndigheter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57710-2023</t>
        </is>
      </c>
      <c r="B313" s="1" t="n">
        <v>45243</v>
      </c>
      <c r="C313" s="1" t="n">
        <v>46112</v>
      </c>
      <c r="D313" t="inlineStr">
        <is>
          <t>ÖSTERGÖTLANDS LÄN</t>
        </is>
      </c>
      <c r="E313" t="inlineStr">
        <is>
          <t>MOTALA</t>
        </is>
      </c>
      <c r="F313" t="inlineStr">
        <is>
          <t>Övriga statliga verk och myndigheter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5411-2026</t>
        </is>
      </c>
      <c r="B314" s="1" t="n">
        <v>46050.52995370371</v>
      </c>
      <c r="C314" s="1" t="n">
        <v>46112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29523-2024</t>
        </is>
      </c>
      <c r="B315" s="1" t="n">
        <v>45484.45675925926</v>
      </c>
      <c r="C315" s="1" t="n">
        <v>46112</v>
      </c>
      <c r="D315" t="inlineStr">
        <is>
          <t>ÖSTERGÖTLANDS LÄN</t>
        </is>
      </c>
      <c r="E315" t="inlineStr">
        <is>
          <t>MOTALA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29525-2024</t>
        </is>
      </c>
      <c r="B316" s="1" t="n">
        <v>45484.45920138889</v>
      </c>
      <c r="C316" s="1" t="n">
        <v>46112</v>
      </c>
      <c r="D316" t="inlineStr">
        <is>
          <t>ÖSTERGÖTLANDS LÄN</t>
        </is>
      </c>
      <c r="E316" t="inlineStr">
        <is>
          <t>MOTALA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71205-2021</t>
        </is>
      </c>
      <c r="B317" s="1" t="n">
        <v>44539</v>
      </c>
      <c r="C317" s="1" t="n">
        <v>46112</v>
      </c>
      <c r="D317" t="inlineStr">
        <is>
          <t>ÖSTERGÖTLANDS LÄN</t>
        </is>
      </c>
      <c r="E317" t="inlineStr">
        <is>
          <t>MOTALA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61434-2025</t>
        </is>
      </c>
      <c r="B318" s="1" t="n">
        <v>46001</v>
      </c>
      <c r="C318" s="1" t="n">
        <v>46112</v>
      </c>
      <c r="D318" t="inlineStr">
        <is>
          <t>ÖSTERGÖTLANDS LÄN</t>
        </is>
      </c>
      <c r="E318" t="inlineStr">
        <is>
          <t>MOTALA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28686-2022</t>
        </is>
      </c>
      <c r="B319" s="1" t="n">
        <v>44748</v>
      </c>
      <c r="C319" s="1" t="n">
        <v>46112</v>
      </c>
      <c r="D319" t="inlineStr">
        <is>
          <t>ÖSTERGÖTLANDS LÄN</t>
        </is>
      </c>
      <c r="E319" t="inlineStr">
        <is>
          <t>MOTALA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2197-2023</t>
        </is>
      </c>
      <c r="B320" s="1" t="n">
        <v>44942.37232638889</v>
      </c>
      <c r="C320" s="1" t="n">
        <v>46112</v>
      </c>
      <c r="D320" t="inlineStr">
        <is>
          <t>ÖSTERGÖTLANDS LÄN</t>
        </is>
      </c>
      <c r="E320" t="inlineStr">
        <is>
          <t>MOTALA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18458-2024</t>
        </is>
      </c>
      <c r="B321" s="1" t="n">
        <v>45425.47164351852</v>
      </c>
      <c r="C321" s="1" t="n">
        <v>46112</v>
      </c>
      <c r="D321" t="inlineStr">
        <is>
          <t>ÖSTERGÖTLANDS LÄN</t>
        </is>
      </c>
      <c r="E321" t="inlineStr">
        <is>
          <t>MOTALA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52385-2025</t>
        </is>
      </c>
      <c r="B322" s="1" t="n">
        <v>45954.28444444444</v>
      </c>
      <c r="C322" s="1" t="n">
        <v>46112</v>
      </c>
      <c r="D322" t="inlineStr">
        <is>
          <t>ÖSTERGÖTLANDS LÄN</t>
        </is>
      </c>
      <c r="E322" t="inlineStr">
        <is>
          <t>MOTALA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24247-2022</t>
        </is>
      </c>
      <c r="B323" s="1" t="n">
        <v>44725.66600694445</v>
      </c>
      <c r="C323" s="1" t="n">
        <v>46112</v>
      </c>
      <c r="D323" t="inlineStr">
        <is>
          <t>ÖSTERGÖTLANDS LÄN</t>
        </is>
      </c>
      <c r="E323" t="inlineStr">
        <is>
          <t>MOTALA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51092-2024</t>
        </is>
      </c>
      <c r="B324" s="1" t="n">
        <v>45603.47010416666</v>
      </c>
      <c r="C324" s="1" t="n">
        <v>46112</v>
      </c>
      <c r="D324" t="inlineStr">
        <is>
          <t>ÖSTERGÖTLANDS LÄN</t>
        </is>
      </c>
      <c r="E324" t="inlineStr">
        <is>
          <t>MOTALA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12982-2026</t>
        </is>
      </c>
      <c r="B325" s="1" t="n">
        <v>46092</v>
      </c>
      <c r="C325" s="1" t="n">
        <v>46112</v>
      </c>
      <c r="D325" t="inlineStr">
        <is>
          <t>ÖSTERGÖTLANDS LÄN</t>
        </is>
      </c>
      <c r="E325" t="inlineStr">
        <is>
          <t>MOTALA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12989-2026</t>
        </is>
      </c>
      <c r="B326" s="1" t="n">
        <v>46092</v>
      </c>
      <c r="C326" s="1" t="n">
        <v>46112</v>
      </c>
      <c r="D326" t="inlineStr">
        <is>
          <t>ÖSTERGÖTLANDS LÄN</t>
        </is>
      </c>
      <c r="E326" t="inlineStr">
        <is>
          <t>MOTALA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18921-2024</t>
        </is>
      </c>
      <c r="B327" s="1" t="n">
        <v>45427.4122337963</v>
      </c>
      <c r="C327" s="1" t="n">
        <v>46112</v>
      </c>
      <c r="D327" t="inlineStr">
        <is>
          <t>ÖSTERGÖTLANDS LÄN</t>
        </is>
      </c>
      <c r="E327" t="inlineStr">
        <is>
          <t>MOTALA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5073-2023</t>
        </is>
      </c>
      <c r="B328" s="1" t="n">
        <v>44958</v>
      </c>
      <c r="C328" s="1" t="n">
        <v>46112</v>
      </c>
      <c r="D328" t="inlineStr">
        <is>
          <t>ÖSTERGÖTLANDS LÄN</t>
        </is>
      </c>
      <c r="E328" t="inlineStr">
        <is>
          <t>MOTALA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28194-2023</t>
        </is>
      </c>
      <c r="B329" s="1" t="n">
        <v>45099.55199074074</v>
      </c>
      <c r="C329" s="1" t="n">
        <v>46112</v>
      </c>
      <c r="D329" t="inlineStr">
        <is>
          <t>ÖSTERGÖTLANDS LÄN</t>
        </is>
      </c>
      <c r="E329" t="inlineStr">
        <is>
          <t>MOTALA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53204-2025</t>
        </is>
      </c>
      <c r="B330" s="1" t="n">
        <v>45958.58180555556</v>
      </c>
      <c r="C330" s="1" t="n">
        <v>46112</v>
      </c>
      <c r="D330" t="inlineStr">
        <is>
          <t>ÖSTERGÖTLANDS LÄN</t>
        </is>
      </c>
      <c r="E330" t="inlineStr">
        <is>
          <t>MOTALA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13298-2026</t>
        </is>
      </c>
      <c r="B331" s="1" t="n">
        <v>46094.31671296297</v>
      </c>
      <c r="C331" s="1" t="n">
        <v>46112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6277-2026</t>
        </is>
      </c>
      <c r="B332" s="1" t="n">
        <v>46055.5268287037</v>
      </c>
      <c r="C332" s="1" t="n">
        <v>46112</v>
      </c>
      <c r="D332" t="inlineStr">
        <is>
          <t>ÖSTERGÖTLANDS LÄN</t>
        </is>
      </c>
      <c r="E332" t="inlineStr">
        <is>
          <t>MOTALA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54264-2025</t>
        </is>
      </c>
      <c r="B333" s="1" t="n">
        <v>45964.66417824074</v>
      </c>
      <c r="C333" s="1" t="n">
        <v>46112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13303-2026</t>
        </is>
      </c>
      <c r="B334" s="1" t="n">
        <v>46094.32125</v>
      </c>
      <c r="C334" s="1" t="n">
        <v>46112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6188-2026</t>
        </is>
      </c>
      <c r="B335" s="1" t="n">
        <v>46055.3728125</v>
      </c>
      <c r="C335" s="1" t="n">
        <v>46112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13300-2026</t>
        </is>
      </c>
      <c r="B336" s="1" t="n">
        <v>46094.31809027777</v>
      </c>
      <c r="C336" s="1" t="n">
        <v>46112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54568-2025</t>
        </is>
      </c>
      <c r="B337" s="1" t="n">
        <v>45965.67278935185</v>
      </c>
      <c r="C337" s="1" t="n">
        <v>46112</v>
      </c>
      <c r="D337" t="inlineStr">
        <is>
          <t>ÖSTERGÖTLANDS LÄN</t>
        </is>
      </c>
      <c r="E337" t="inlineStr">
        <is>
          <t>MOTALA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56325-2024</t>
        </is>
      </c>
      <c r="B338" s="1" t="n">
        <v>45624.7716087963</v>
      </c>
      <c r="C338" s="1" t="n">
        <v>46112</v>
      </c>
      <c r="D338" t="inlineStr">
        <is>
          <t>ÖSTERGÖTLANDS LÄN</t>
        </is>
      </c>
      <c r="E338" t="inlineStr">
        <is>
          <t>MOTALA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43695-2021</t>
        </is>
      </c>
      <c r="B339" s="1" t="n">
        <v>44433</v>
      </c>
      <c r="C339" s="1" t="n">
        <v>46112</v>
      </c>
      <c r="D339" t="inlineStr">
        <is>
          <t>ÖSTERGÖTLANDS LÄN</t>
        </is>
      </c>
      <c r="E339" t="inlineStr">
        <is>
          <t>MOTALA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54171-2025</t>
        </is>
      </c>
      <c r="B340" s="1" t="n">
        <v>45964</v>
      </c>
      <c r="C340" s="1" t="n">
        <v>46112</v>
      </c>
      <c r="D340" t="inlineStr">
        <is>
          <t>ÖSTERGÖTLANDS LÄN</t>
        </is>
      </c>
      <c r="E340" t="inlineStr">
        <is>
          <t>MOTALA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54261-2025</t>
        </is>
      </c>
      <c r="B341" s="1" t="n">
        <v>45964.66202546296</v>
      </c>
      <c r="C341" s="1" t="n">
        <v>46112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54166-2025</t>
        </is>
      </c>
      <c r="B342" s="1" t="n">
        <v>45964.51869212963</v>
      </c>
      <c r="C342" s="1" t="n">
        <v>46112</v>
      </c>
      <c r="D342" t="inlineStr">
        <is>
          <t>ÖSTERGÖTLANDS LÄN</t>
        </is>
      </c>
      <c r="E342" t="inlineStr">
        <is>
          <t>MOTALA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65566-2021</t>
        </is>
      </c>
      <c r="B343" s="1" t="n">
        <v>44516</v>
      </c>
      <c r="C343" s="1" t="n">
        <v>46112</v>
      </c>
      <c r="D343" t="inlineStr">
        <is>
          <t>ÖSTERGÖTLANDS LÄN</t>
        </is>
      </c>
      <c r="E343" t="inlineStr">
        <is>
          <t>MOTALA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55424-2025</t>
        </is>
      </c>
      <c r="B344" s="1" t="n">
        <v>45971.47325231481</v>
      </c>
      <c r="C344" s="1" t="n">
        <v>46112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55423-2025</t>
        </is>
      </c>
      <c r="B345" s="1" t="n">
        <v>45971.47230324074</v>
      </c>
      <c r="C345" s="1" t="n">
        <v>46112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23.3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55479-2025</t>
        </is>
      </c>
      <c r="B346" s="1" t="n">
        <v>45971.56327546296</v>
      </c>
      <c r="C346" s="1" t="n">
        <v>46112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13304-2026</t>
        </is>
      </c>
      <c r="B347" s="1" t="n">
        <v>46094.32244212963</v>
      </c>
      <c r="C347" s="1" t="n">
        <v>46112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56060-2025</t>
        </is>
      </c>
      <c r="B348" s="1" t="n">
        <v>45973.63788194444</v>
      </c>
      <c r="C348" s="1" t="n">
        <v>46112</v>
      </c>
      <c r="D348" t="inlineStr">
        <is>
          <t>ÖSTERGÖTLANDS LÄN</t>
        </is>
      </c>
      <c r="E348" t="inlineStr">
        <is>
          <t>MOTALA</t>
        </is>
      </c>
      <c r="G348" t="n">
        <v>9.699999999999999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19121-2025</t>
        </is>
      </c>
      <c r="B349" s="1" t="n">
        <v>45768.82865740741</v>
      </c>
      <c r="C349" s="1" t="n">
        <v>46112</v>
      </c>
      <c r="D349" t="inlineStr">
        <is>
          <t>ÖSTERGÖTLANDS LÄN</t>
        </is>
      </c>
      <c r="E349" t="inlineStr">
        <is>
          <t>MOTALA</t>
        </is>
      </c>
      <c r="F349" t="inlineStr">
        <is>
          <t>Allmännings- och besparingsskogar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56255-2025</t>
        </is>
      </c>
      <c r="B350" s="1" t="n">
        <v>45974.56300925926</v>
      </c>
      <c r="C350" s="1" t="n">
        <v>46112</v>
      </c>
      <c r="D350" t="inlineStr">
        <is>
          <t>ÖSTERGÖTLANDS LÄN</t>
        </is>
      </c>
      <c r="E350" t="inlineStr">
        <is>
          <t>MOTALA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49249-2023</t>
        </is>
      </c>
      <c r="B351" s="1" t="n">
        <v>45205</v>
      </c>
      <c r="C351" s="1" t="n">
        <v>46112</v>
      </c>
      <c r="D351" t="inlineStr">
        <is>
          <t>ÖSTERGÖTLANDS LÄN</t>
        </is>
      </c>
      <c r="E351" t="inlineStr">
        <is>
          <t>MOTALA</t>
        </is>
      </c>
      <c r="F351" t="inlineStr">
        <is>
          <t>Övriga statliga verk och myndigheter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17008-2022</t>
        </is>
      </c>
      <c r="B352" s="1" t="n">
        <v>44676</v>
      </c>
      <c r="C352" s="1" t="n">
        <v>46112</v>
      </c>
      <c r="D352" t="inlineStr">
        <is>
          <t>ÖSTERGÖTLANDS LÄN</t>
        </is>
      </c>
      <c r="E352" t="inlineStr">
        <is>
          <t>MOTALA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18726-2025</t>
        </is>
      </c>
      <c r="B353" s="1" t="n">
        <v>45763.67142361111</v>
      </c>
      <c r="C353" s="1" t="n">
        <v>46112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8724-2022</t>
        </is>
      </c>
      <c r="B354" s="1" t="n">
        <v>44613</v>
      </c>
      <c r="C354" s="1" t="n">
        <v>46112</v>
      </c>
      <c r="D354" t="inlineStr">
        <is>
          <t>ÖSTERGÖTLANDS LÄN</t>
        </is>
      </c>
      <c r="E354" t="inlineStr">
        <is>
          <t>MOTALA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185-2024</t>
        </is>
      </c>
      <c r="B355" s="1" t="n">
        <v>45294.60003472222</v>
      </c>
      <c r="C355" s="1" t="n">
        <v>46112</v>
      </c>
      <c r="D355" t="inlineStr">
        <is>
          <t>ÖSTERGÖTLANDS LÄN</t>
        </is>
      </c>
      <c r="E355" t="inlineStr">
        <is>
          <t>MOTALA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58385-2025</t>
        </is>
      </c>
      <c r="B356" s="1" t="n">
        <v>45985</v>
      </c>
      <c r="C356" s="1" t="n">
        <v>46112</v>
      </c>
      <c r="D356" t="inlineStr">
        <is>
          <t>ÖSTERGÖTLANDS LÄN</t>
        </is>
      </c>
      <c r="E356" t="inlineStr">
        <is>
          <t>MOTALA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38878-2023</t>
        </is>
      </c>
      <c r="B357" s="1" t="n">
        <v>45161</v>
      </c>
      <c r="C357" s="1" t="n">
        <v>46112</v>
      </c>
      <c r="D357" t="inlineStr">
        <is>
          <t>ÖSTERGÖTLANDS LÄN</t>
        </is>
      </c>
      <c r="E357" t="inlineStr">
        <is>
          <t>MOTALA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58341-2025</t>
        </is>
      </c>
      <c r="B358" s="1" t="n">
        <v>45982</v>
      </c>
      <c r="C358" s="1" t="n">
        <v>46112</v>
      </c>
      <c r="D358" t="inlineStr">
        <is>
          <t>ÖSTERGÖTLANDS LÄN</t>
        </is>
      </c>
      <c r="E358" t="inlineStr">
        <is>
          <t>MOTALA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16452-2023</t>
        </is>
      </c>
      <c r="B359" s="1" t="n">
        <v>45029</v>
      </c>
      <c r="C359" s="1" t="n">
        <v>46112</v>
      </c>
      <c r="D359" t="inlineStr">
        <is>
          <t>ÖSTERGÖTLANDS LÄN</t>
        </is>
      </c>
      <c r="E359" t="inlineStr">
        <is>
          <t>MOTALA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53438-2024</t>
        </is>
      </c>
      <c r="B360" s="1" t="n">
        <v>45614.53487268519</v>
      </c>
      <c r="C360" s="1" t="n">
        <v>46112</v>
      </c>
      <c r="D360" t="inlineStr">
        <is>
          <t>ÖSTERGÖTLANDS LÄN</t>
        </is>
      </c>
      <c r="E360" t="inlineStr">
        <is>
          <t>MOTALA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47905-2024</t>
        </is>
      </c>
      <c r="B361" s="1" t="n">
        <v>45589.30626157407</v>
      </c>
      <c r="C361" s="1" t="n">
        <v>46112</v>
      </c>
      <c r="D361" t="inlineStr">
        <is>
          <t>ÖSTERGÖTLANDS LÄN</t>
        </is>
      </c>
      <c r="E361" t="inlineStr">
        <is>
          <t>MOTALA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3995-2026</t>
        </is>
      </c>
      <c r="B362" s="1" t="n">
        <v>46043</v>
      </c>
      <c r="C362" s="1" t="n">
        <v>46112</v>
      </c>
      <c r="D362" t="inlineStr">
        <is>
          <t>ÖSTERGÖTLANDS LÄN</t>
        </is>
      </c>
      <c r="E362" t="inlineStr">
        <is>
          <t>MOTALA</t>
        </is>
      </c>
      <c r="F362" t="inlineStr">
        <is>
          <t>Kyrkan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14568-2026</t>
        </is>
      </c>
      <c r="B363" s="1" t="n">
        <v>46100.87925925926</v>
      </c>
      <c r="C363" s="1" t="n">
        <v>46112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7358-2026</t>
        </is>
      </c>
      <c r="B364" s="1" t="n">
        <v>46058.70769675926</v>
      </c>
      <c r="C364" s="1" t="n">
        <v>46112</v>
      </c>
      <c r="D364" t="inlineStr">
        <is>
          <t>ÖSTERGÖTLANDS LÄN</t>
        </is>
      </c>
      <c r="E364" t="inlineStr">
        <is>
          <t>MOTALA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62078-2023</t>
        </is>
      </c>
      <c r="B365" s="1" t="n">
        <v>45266</v>
      </c>
      <c r="C365" s="1" t="n">
        <v>46112</v>
      </c>
      <c r="D365" t="inlineStr">
        <is>
          <t>ÖSTERGÖTLANDS LÄN</t>
        </is>
      </c>
      <c r="E365" t="inlineStr">
        <is>
          <t>MOTALA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60049-2025</t>
        </is>
      </c>
      <c r="B366" s="1" t="n">
        <v>45992</v>
      </c>
      <c r="C366" s="1" t="n">
        <v>46112</v>
      </c>
      <c r="D366" t="inlineStr">
        <is>
          <t>ÖSTERGÖTLANDS LÄN</t>
        </is>
      </c>
      <c r="E366" t="inlineStr">
        <is>
          <t>MOTALA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59597-2025</t>
        </is>
      </c>
      <c r="B367" s="1" t="n">
        <v>45992.34927083334</v>
      </c>
      <c r="C367" s="1" t="n">
        <v>46112</v>
      </c>
      <c r="D367" t="inlineStr">
        <is>
          <t>ÖSTERGÖTLANDS LÄN</t>
        </is>
      </c>
      <c r="E367" t="inlineStr">
        <is>
          <t>MOTALA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59576-2025</t>
        </is>
      </c>
      <c r="B368" s="1" t="n">
        <v>45992.30050925926</v>
      </c>
      <c r="C368" s="1" t="n">
        <v>46112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59577-2025</t>
        </is>
      </c>
      <c r="B369" s="1" t="n">
        <v>45992.30173611111</v>
      </c>
      <c r="C369" s="1" t="n">
        <v>46112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50733-2024</t>
        </is>
      </c>
      <c r="B370" s="1" t="n">
        <v>45602.39106481482</v>
      </c>
      <c r="C370" s="1" t="n">
        <v>46112</v>
      </c>
      <c r="D370" t="inlineStr">
        <is>
          <t>ÖSTERGÖTLANDS LÄN</t>
        </is>
      </c>
      <c r="E370" t="inlineStr">
        <is>
          <t>MOTALA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53454-2024</t>
        </is>
      </c>
      <c r="B371" s="1" t="n">
        <v>45614.54820601852</v>
      </c>
      <c r="C371" s="1" t="n">
        <v>46112</v>
      </c>
      <c r="D371" t="inlineStr">
        <is>
          <t>ÖSTERGÖTLANDS LÄN</t>
        </is>
      </c>
      <c r="E371" t="inlineStr">
        <is>
          <t>MOTALA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62075-2023</t>
        </is>
      </c>
      <c r="B372" s="1" t="n">
        <v>45266.74684027778</v>
      </c>
      <c r="C372" s="1" t="n">
        <v>46112</v>
      </c>
      <c r="D372" t="inlineStr">
        <is>
          <t>ÖSTERGÖTLANDS LÄN</t>
        </is>
      </c>
      <c r="E372" t="inlineStr">
        <is>
          <t>MOTALA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62077-2023</t>
        </is>
      </c>
      <c r="B373" s="1" t="n">
        <v>45266.753125</v>
      </c>
      <c r="C373" s="1" t="n">
        <v>46112</v>
      </c>
      <c r="D373" t="inlineStr">
        <is>
          <t>ÖSTERGÖTLANDS LÄN</t>
        </is>
      </c>
      <c r="E373" t="inlineStr">
        <is>
          <t>MOTALA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62079-2023</t>
        </is>
      </c>
      <c r="B374" s="1" t="n">
        <v>45266</v>
      </c>
      <c r="C374" s="1" t="n">
        <v>46112</v>
      </c>
      <c r="D374" t="inlineStr">
        <is>
          <t>ÖSTERGÖTLANDS LÄN</t>
        </is>
      </c>
      <c r="E374" t="inlineStr">
        <is>
          <t>MOTALA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52302-2023</t>
        </is>
      </c>
      <c r="B375" s="1" t="n">
        <v>45224</v>
      </c>
      <c r="C375" s="1" t="n">
        <v>46112</v>
      </c>
      <c r="D375" t="inlineStr">
        <is>
          <t>ÖSTERGÖTLANDS LÄN</t>
        </is>
      </c>
      <c r="E375" t="inlineStr">
        <is>
          <t>MOTALA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9622-2023</t>
        </is>
      </c>
      <c r="B376" s="1" t="n">
        <v>44984</v>
      </c>
      <c r="C376" s="1" t="n">
        <v>46112</v>
      </c>
      <c r="D376" t="inlineStr">
        <is>
          <t>ÖSTERGÖTLANDS LÄN</t>
        </is>
      </c>
      <c r="E376" t="inlineStr">
        <is>
          <t>MOTALA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19234-2024</t>
        </is>
      </c>
      <c r="B377" s="1" t="n">
        <v>45428.56901620371</v>
      </c>
      <c r="C377" s="1" t="n">
        <v>46112</v>
      </c>
      <c r="D377" t="inlineStr">
        <is>
          <t>ÖSTERGÖTLANDS LÄN</t>
        </is>
      </c>
      <c r="E377" t="inlineStr">
        <is>
          <t>MOTALA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42137-2024</t>
        </is>
      </c>
      <c r="B378" s="1" t="n">
        <v>45562.4177662037</v>
      </c>
      <c r="C378" s="1" t="n">
        <v>46112</v>
      </c>
      <c r="D378" t="inlineStr">
        <is>
          <t>ÖSTERGÖTLANDS LÄN</t>
        </is>
      </c>
      <c r="E378" t="inlineStr">
        <is>
          <t>MOTALA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2194-2023</t>
        </is>
      </c>
      <c r="B379" s="1" t="n">
        <v>44942</v>
      </c>
      <c r="C379" s="1" t="n">
        <v>46112</v>
      </c>
      <c r="D379" t="inlineStr">
        <is>
          <t>ÖSTERGÖTLANDS LÄN</t>
        </is>
      </c>
      <c r="E379" t="inlineStr">
        <is>
          <t>MOTALA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2196-2023</t>
        </is>
      </c>
      <c r="B380" s="1" t="n">
        <v>44942.36666666667</v>
      </c>
      <c r="C380" s="1" t="n">
        <v>46112</v>
      </c>
      <c r="D380" t="inlineStr">
        <is>
          <t>ÖSTERGÖTLANDS LÄN</t>
        </is>
      </c>
      <c r="E380" t="inlineStr">
        <is>
          <t>MOTALA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47510-2022</t>
        </is>
      </c>
      <c r="B381" s="1" t="n">
        <v>44853</v>
      </c>
      <c r="C381" s="1" t="n">
        <v>46112</v>
      </c>
      <c r="D381" t="inlineStr">
        <is>
          <t>ÖSTERGÖTLANDS LÄN</t>
        </is>
      </c>
      <c r="E381" t="inlineStr">
        <is>
          <t>MOTALA</t>
        </is>
      </c>
      <c r="F381" t="inlineStr">
        <is>
          <t>Övriga statliga verk och myndigheter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64161-2023</t>
        </is>
      </c>
      <c r="B382" s="1" t="n">
        <v>45279.61494212963</v>
      </c>
      <c r="C382" s="1" t="n">
        <v>46112</v>
      </c>
      <c r="D382" t="inlineStr">
        <is>
          <t>ÖSTERGÖTLANDS LÄN</t>
        </is>
      </c>
      <c r="E382" t="inlineStr">
        <is>
          <t>MOTALA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64175-2023</t>
        </is>
      </c>
      <c r="B383" s="1" t="n">
        <v>45279</v>
      </c>
      <c r="C383" s="1" t="n">
        <v>46112</v>
      </c>
      <c r="D383" t="inlineStr">
        <is>
          <t>ÖSTERGÖTLANDS LÄN</t>
        </is>
      </c>
      <c r="E383" t="inlineStr">
        <is>
          <t>MOTALA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2205-2023</t>
        </is>
      </c>
      <c r="B384" s="1" t="n">
        <v>44942.38266203704</v>
      </c>
      <c r="C384" s="1" t="n">
        <v>46112</v>
      </c>
      <c r="D384" t="inlineStr">
        <is>
          <t>ÖSTERGÖTLANDS LÄN</t>
        </is>
      </c>
      <c r="E384" t="inlineStr">
        <is>
          <t>MOTALA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61938-2025</t>
        </is>
      </c>
      <c r="B385" s="1" t="n">
        <v>46003.55443287037</v>
      </c>
      <c r="C385" s="1" t="n">
        <v>46112</v>
      </c>
      <c r="D385" t="inlineStr">
        <is>
          <t>ÖSTERGÖTLANDS LÄN</t>
        </is>
      </c>
      <c r="E385" t="inlineStr">
        <is>
          <t>MOTALA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20353-2025</t>
        </is>
      </c>
      <c r="B386" s="1" t="n">
        <v>45775.39275462963</v>
      </c>
      <c r="C386" s="1" t="n">
        <v>46112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60742-2025</t>
        </is>
      </c>
      <c r="B387" s="1" t="n">
        <v>45998</v>
      </c>
      <c r="C387" s="1" t="n">
        <v>46112</v>
      </c>
      <c r="D387" t="inlineStr">
        <is>
          <t>ÖSTERGÖTLANDS LÄN</t>
        </is>
      </c>
      <c r="E387" t="inlineStr">
        <is>
          <t>MOTALA</t>
        </is>
      </c>
      <c r="G387" t="n">
        <v>15.9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61952-2025</t>
        </is>
      </c>
      <c r="B388" s="1" t="n">
        <v>46003.57324074074</v>
      </c>
      <c r="C388" s="1" t="n">
        <v>46112</v>
      </c>
      <c r="D388" t="inlineStr">
        <is>
          <t>ÖSTERGÖTLANDS LÄN</t>
        </is>
      </c>
      <c r="E388" t="inlineStr">
        <is>
          <t>MOTALA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1102-2023</t>
        </is>
      </c>
      <c r="B389" s="1" t="n">
        <v>44935.58886574074</v>
      </c>
      <c r="C389" s="1" t="n">
        <v>46112</v>
      </c>
      <c r="D389" t="inlineStr">
        <is>
          <t>ÖSTERGÖTLANDS LÄN</t>
        </is>
      </c>
      <c r="E389" t="inlineStr">
        <is>
          <t>MOTALA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5888-2025</t>
        </is>
      </c>
      <c r="B390" s="1" t="n">
        <v>45695.3799074074</v>
      </c>
      <c r="C390" s="1" t="n">
        <v>46112</v>
      </c>
      <c r="D390" t="inlineStr">
        <is>
          <t>ÖSTERGÖTLANDS LÄN</t>
        </is>
      </c>
      <c r="E390" t="inlineStr">
        <is>
          <t>MOTALA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14920-2026</t>
        </is>
      </c>
      <c r="B391" s="1" t="n">
        <v>46104.47725694445</v>
      </c>
      <c r="C391" s="1" t="n">
        <v>46112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14922-2026</t>
        </is>
      </c>
      <c r="B392" s="1" t="n">
        <v>46104.47956018519</v>
      </c>
      <c r="C392" s="1" t="n">
        <v>46112</v>
      </c>
      <c r="D392" t="inlineStr">
        <is>
          <t>ÖSTERGÖTLANDS LÄN</t>
        </is>
      </c>
      <c r="E392" t="inlineStr">
        <is>
          <t>MOTALA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40528-2022</t>
        </is>
      </c>
      <c r="B393" s="1" t="n">
        <v>44819</v>
      </c>
      <c r="C393" s="1" t="n">
        <v>46112</v>
      </c>
      <c r="D393" t="inlineStr">
        <is>
          <t>ÖSTERGÖTLANDS LÄN</t>
        </is>
      </c>
      <c r="E393" t="inlineStr">
        <is>
          <t>MOTALA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8306-2026</t>
        </is>
      </c>
      <c r="B394" s="1" t="n">
        <v>46063</v>
      </c>
      <c r="C394" s="1" t="n">
        <v>46112</v>
      </c>
      <c r="D394" t="inlineStr">
        <is>
          <t>ÖSTERGÖTLANDS LÄN</t>
        </is>
      </c>
      <c r="E394" t="inlineStr">
        <is>
          <t>MOTALA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48392-2024</t>
        </is>
      </c>
      <c r="B395" s="1" t="n">
        <v>45590.60849537037</v>
      </c>
      <c r="C395" s="1" t="n">
        <v>46112</v>
      </c>
      <c r="D395" t="inlineStr">
        <is>
          <t>ÖSTERGÖTLANDS LÄN</t>
        </is>
      </c>
      <c r="E395" t="inlineStr">
        <is>
          <t>MOTALA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15331-2026</t>
        </is>
      </c>
      <c r="B396" s="1" t="n">
        <v>46105.66074074074</v>
      </c>
      <c r="C396" s="1" t="n">
        <v>46112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14921-2026</t>
        </is>
      </c>
      <c r="B397" s="1" t="n">
        <v>46104.47835648148</v>
      </c>
      <c r="C397" s="1" t="n">
        <v>46112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14927-2026</t>
        </is>
      </c>
      <c r="B398" s="1" t="n">
        <v>46104.48138888889</v>
      </c>
      <c r="C398" s="1" t="n">
        <v>46112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15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14924-2026</t>
        </is>
      </c>
      <c r="B399" s="1" t="n">
        <v>46104.48008101852</v>
      </c>
      <c r="C399" s="1" t="n">
        <v>46112</v>
      </c>
      <c r="D399" t="inlineStr">
        <is>
          <t>ÖSTERGÖTLANDS LÄN</t>
        </is>
      </c>
      <c r="E399" t="inlineStr">
        <is>
          <t>MOTALA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7586-2026</t>
        </is>
      </c>
      <c r="B400" s="1" t="n">
        <v>46061.82630787037</v>
      </c>
      <c r="C400" s="1" t="n">
        <v>46112</v>
      </c>
      <c r="D400" t="inlineStr">
        <is>
          <t>ÖSTERGÖTLANDS LÄN</t>
        </is>
      </c>
      <c r="E400" t="inlineStr">
        <is>
          <t>MOTALA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7612-2026</t>
        </is>
      </c>
      <c r="B401" s="1" t="n">
        <v>46062.32478009259</v>
      </c>
      <c r="C401" s="1" t="n">
        <v>46112</v>
      </c>
      <c r="D401" t="inlineStr">
        <is>
          <t>ÖSTERGÖTLANDS LÄN</t>
        </is>
      </c>
      <c r="E401" t="inlineStr">
        <is>
          <t>MOTALA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21048-2024</t>
        </is>
      </c>
      <c r="B402" s="1" t="n">
        <v>45439.67638888889</v>
      </c>
      <c r="C402" s="1" t="n">
        <v>46112</v>
      </c>
      <c r="D402" t="inlineStr">
        <is>
          <t>ÖSTERGÖTLANDS LÄN</t>
        </is>
      </c>
      <c r="E402" t="inlineStr">
        <is>
          <t>MOTALA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44298-2023</t>
        </is>
      </c>
      <c r="B403" s="1" t="n">
        <v>45187</v>
      </c>
      <c r="C403" s="1" t="n">
        <v>46112</v>
      </c>
      <c r="D403" t="inlineStr">
        <is>
          <t>ÖSTERGÖTLANDS LÄN</t>
        </is>
      </c>
      <c r="E403" t="inlineStr">
        <is>
          <t>MOTALA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14682-2025</t>
        </is>
      </c>
      <c r="B404" s="1" t="n">
        <v>45742.57196759259</v>
      </c>
      <c r="C404" s="1" t="n">
        <v>46112</v>
      </c>
      <c r="D404" t="inlineStr">
        <is>
          <t>ÖSTERGÖTLANDS LÄN</t>
        </is>
      </c>
      <c r="E404" t="inlineStr">
        <is>
          <t>MOTALA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8548-2026</t>
        </is>
      </c>
      <c r="B405" s="1" t="n">
        <v>46064</v>
      </c>
      <c r="C405" s="1" t="n">
        <v>46112</v>
      </c>
      <c r="D405" t="inlineStr">
        <is>
          <t>ÖSTERGÖTLANDS LÄN</t>
        </is>
      </c>
      <c r="E405" t="inlineStr">
        <is>
          <t>MOTALA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42130-2024</t>
        </is>
      </c>
      <c r="B406" s="1" t="n">
        <v>45562.40653935185</v>
      </c>
      <c r="C406" s="1" t="n">
        <v>46112</v>
      </c>
      <c r="D406" t="inlineStr">
        <is>
          <t>ÖSTERGÖTLANDS LÄN</t>
        </is>
      </c>
      <c r="E406" t="inlineStr">
        <is>
          <t>MOTALA</t>
        </is>
      </c>
      <c r="G406" t="n">
        <v>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8153-2026</t>
        </is>
      </c>
      <c r="B407" s="1" t="n">
        <v>46064.35736111111</v>
      </c>
      <c r="C407" s="1" t="n">
        <v>46112</v>
      </c>
      <c r="D407" t="inlineStr">
        <is>
          <t>ÖSTERGÖTLANDS LÄN</t>
        </is>
      </c>
      <c r="E407" t="inlineStr">
        <is>
          <t>MOTALA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62556-2021</t>
        </is>
      </c>
      <c r="B408" s="1" t="n">
        <v>44503</v>
      </c>
      <c r="C408" s="1" t="n">
        <v>46112</v>
      </c>
      <c r="D408" t="inlineStr">
        <is>
          <t>ÖSTERGÖTLANDS LÄN</t>
        </is>
      </c>
      <c r="E408" t="inlineStr">
        <is>
          <t>MOTALA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17148-2023</t>
        </is>
      </c>
      <c r="B409" s="1" t="n">
        <v>45034</v>
      </c>
      <c r="C409" s="1" t="n">
        <v>46112</v>
      </c>
      <c r="D409" t="inlineStr">
        <is>
          <t>ÖSTERGÖTLANDS LÄN</t>
        </is>
      </c>
      <c r="E409" t="inlineStr">
        <is>
          <t>MOTALA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41944-2022</t>
        </is>
      </c>
      <c r="B410" s="1" t="n">
        <v>44830.38262731482</v>
      </c>
      <c r="C410" s="1" t="n">
        <v>46112</v>
      </c>
      <c r="D410" t="inlineStr">
        <is>
          <t>ÖSTERGÖTLANDS LÄN</t>
        </is>
      </c>
      <c r="E410" t="inlineStr">
        <is>
          <t>MOTALA</t>
        </is>
      </c>
      <c r="F410" t="inlineStr">
        <is>
          <t>Sveaskog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9392-2026</t>
        </is>
      </c>
      <c r="B411" s="1" t="n">
        <v>46071.36315972222</v>
      </c>
      <c r="C411" s="1" t="n">
        <v>46112</v>
      </c>
      <c r="D411" t="inlineStr">
        <is>
          <t>ÖSTERGÖTLANDS LÄN</t>
        </is>
      </c>
      <c r="E411" t="inlineStr">
        <is>
          <t>MOTALA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28994-2024</t>
        </is>
      </c>
      <c r="B412" s="1" t="n">
        <v>45481.49856481481</v>
      </c>
      <c r="C412" s="1" t="n">
        <v>46112</v>
      </c>
      <c r="D412" t="inlineStr">
        <is>
          <t>ÖSTERGÖTLANDS LÄN</t>
        </is>
      </c>
      <c r="E412" t="inlineStr">
        <is>
          <t>MOTALA</t>
        </is>
      </c>
      <c r="F412" t="inlineStr">
        <is>
          <t>Sveaskog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21527-2023</t>
        </is>
      </c>
      <c r="B413" s="1" t="n">
        <v>45061</v>
      </c>
      <c r="C413" s="1" t="n">
        <v>46112</v>
      </c>
      <c r="D413" t="inlineStr">
        <is>
          <t>ÖSTERGÖTLANDS LÄN</t>
        </is>
      </c>
      <c r="E413" t="inlineStr">
        <is>
          <t>MOTALA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15551-2026</t>
        </is>
      </c>
      <c r="B414" s="1" t="n">
        <v>46106</v>
      </c>
      <c r="C414" s="1" t="n">
        <v>46112</v>
      </c>
      <c r="D414" t="inlineStr">
        <is>
          <t>ÖSTERGÖTLANDS LÄN</t>
        </is>
      </c>
      <c r="E414" t="inlineStr">
        <is>
          <t>MOTALA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14230-2025</t>
        </is>
      </c>
      <c r="B415" s="1" t="n">
        <v>45740.59944444444</v>
      </c>
      <c r="C415" s="1" t="n">
        <v>46112</v>
      </c>
      <c r="D415" t="inlineStr">
        <is>
          <t>ÖSTERGÖTLANDS LÄN</t>
        </is>
      </c>
      <c r="E415" t="inlineStr">
        <is>
          <t>MOTALA</t>
        </is>
      </c>
      <c r="F415" t="inlineStr">
        <is>
          <t>Sveaskog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23269-2024</t>
        </is>
      </c>
      <c r="B416" s="1" t="n">
        <v>45453</v>
      </c>
      <c r="C416" s="1" t="n">
        <v>46112</v>
      </c>
      <c r="D416" t="inlineStr">
        <is>
          <t>ÖSTERGÖTLANDS LÄN</t>
        </is>
      </c>
      <c r="E416" t="inlineStr">
        <is>
          <t>MOTALA</t>
        </is>
      </c>
      <c r="F416" t="inlineStr">
        <is>
          <t>Allmännings- och besparingsskogar</t>
        </is>
      </c>
      <c r="G416" t="n">
        <v>8.800000000000001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8138-2026</t>
        </is>
      </c>
      <c r="B417" s="1" t="n">
        <v>46064.31494212963</v>
      </c>
      <c r="C417" s="1" t="n">
        <v>46112</v>
      </c>
      <c r="D417" t="inlineStr">
        <is>
          <t>ÖSTERGÖTLANDS LÄN</t>
        </is>
      </c>
      <c r="E417" t="inlineStr">
        <is>
          <t>MOTALA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9960-2026</t>
        </is>
      </c>
      <c r="B418" s="1" t="n">
        <v>46073.49261574074</v>
      </c>
      <c r="C418" s="1" t="n">
        <v>46112</v>
      </c>
      <c r="D418" t="inlineStr">
        <is>
          <t>ÖSTERGÖTLANDS LÄN</t>
        </is>
      </c>
      <c r="E418" t="inlineStr">
        <is>
          <t>MOTALA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8698-2026</t>
        </is>
      </c>
      <c r="B419" s="1" t="n">
        <v>46066.45733796297</v>
      </c>
      <c r="C419" s="1" t="n">
        <v>46112</v>
      </c>
      <c r="D419" t="inlineStr">
        <is>
          <t>ÖSTERGÖTLANDS LÄN</t>
        </is>
      </c>
      <c r="E419" t="inlineStr">
        <is>
          <t>MOTALA</t>
        </is>
      </c>
      <c r="F419" t="inlineStr">
        <is>
          <t>Sveaskog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43368-2023</t>
        </is>
      </c>
      <c r="B420" s="1" t="n">
        <v>45183.73592592592</v>
      </c>
      <c r="C420" s="1" t="n">
        <v>46112</v>
      </c>
      <c r="D420" t="inlineStr">
        <is>
          <t>ÖSTERGÖTLANDS LÄN</t>
        </is>
      </c>
      <c r="E420" t="inlineStr">
        <is>
          <t>MOTALA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34761-2024</t>
        </is>
      </c>
      <c r="B421" s="1" t="n">
        <v>45526.61543981481</v>
      </c>
      <c r="C421" s="1" t="n">
        <v>46112</v>
      </c>
      <c r="D421" t="inlineStr">
        <is>
          <t>ÖSTERGÖTLANDS LÄN</t>
        </is>
      </c>
      <c r="E421" t="inlineStr">
        <is>
          <t>MOTALA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1485-2026</t>
        </is>
      </c>
      <c r="B422" s="1" t="n">
        <v>46034.2150925926</v>
      </c>
      <c r="C422" s="1" t="n">
        <v>46112</v>
      </c>
      <c r="D422" t="inlineStr">
        <is>
          <t>ÖSTERGÖTLANDS LÄN</t>
        </is>
      </c>
      <c r="E422" t="inlineStr">
        <is>
          <t>MOTALA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15057-2026</t>
        </is>
      </c>
      <c r="B423" s="1" t="n">
        <v>46104</v>
      </c>
      <c r="C423" s="1" t="n">
        <v>46112</v>
      </c>
      <c r="D423" t="inlineStr">
        <is>
          <t>ÖSTERGÖTLANDS LÄN</t>
        </is>
      </c>
      <c r="E423" t="inlineStr">
        <is>
          <t>MOTALA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15074-2026</t>
        </is>
      </c>
      <c r="B424" s="1" t="n">
        <v>46104</v>
      </c>
      <c r="C424" s="1" t="n">
        <v>46112</v>
      </c>
      <c r="D424" t="inlineStr">
        <is>
          <t>ÖSTERGÖTLANDS LÄN</t>
        </is>
      </c>
      <c r="E424" t="inlineStr">
        <is>
          <t>MOTALA</t>
        </is>
      </c>
      <c r="G424" t="n">
        <v>8.4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15077-2026</t>
        </is>
      </c>
      <c r="B425" s="1" t="n">
        <v>46105.25216435185</v>
      </c>
      <c r="C425" s="1" t="n">
        <v>46112</v>
      </c>
      <c r="D425" t="inlineStr">
        <is>
          <t>ÖSTERGÖTLANDS LÄN</t>
        </is>
      </c>
      <c r="E425" t="inlineStr">
        <is>
          <t>MOTALA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8785-2026</t>
        </is>
      </c>
      <c r="B426" s="1" t="n">
        <v>46066.58640046296</v>
      </c>
      <c r="C426" s="1" t="n">
        <v>46112</v>
      </c>
      <c r="D426" t="inlineStr">
        <is>
          <t>ÖSTERGÖTLANDS LÄN</t>
        </is>
      </c>
      <c r="E426" t="inlineStr">
        <is>
          <t>MOTALA</t>
        </is>
      </c>
      <c r="F426" t="inlineStr">
        <is>
          <t>Sveaskog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8787-2026</t>
        </is>
      </c>
      <c r="B427" s="1" t="n">
        <v>46066.58723379629</v>
      </c>
      <c r="C427" s="1" t="n">
        <v>46112</v>
      </c>
      <c r="D427" t="inlineStr">
        <is>
          <t>ÖSTERGÖTLANDS LÄN</t>
        </is>
      </c>
      <c r="E427" t="inlineStr">
        <is>
          <t>MOTALA</t>
        </is>
      </c>
      <c r="F427" t="inlineStr">
        <is>
          <t>Sveaskog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8788-2026</t>
        </is>
      </c>
      <c r="B428" s="1" t="n">
        <v>46066.58785879629</v>
      </c>
      <c r="C428" s="1" t="n">
        <v>46112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8791-2026</t>
        </is>
      </c>
      <c r="B429" s="1" t="n">
        <v>46066.58913194444</v>
      </c>
      <c r="C429" s="1" t="n">
        <v>46112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8108-2024</t>
        </is>
      </c>
      <c r="B430" s="1" t="n">
        <v>45351.48571759259</v>
      </c>
      <c r="C430" s="1" t="n">
        <v>46112</v>
      </c>
      <c r="D430" t="inlineStr">
        <is>
          <t>ÖSTERGÖTLANDS LÄN</t>
        </is>
      </c>
      <c r="E430" t="inlineStr">
        <is>
          <t>MOTALA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15056-2026</t>
        </is>
      </c>
      <c r="B431" s="1" t="n">
        <v>46104</v>
      </c>
      <c r="C431" s="1" t="n">
        <v>46112</v>
      </c>
      <c r="D431" t="inlineStr">
        <is>
          <t>ÖSTERGÖTLANDS LÄN</t>
        </is>
      </c>
      <c r="E431" t="inlineStr">
        <is>
          <t>MOTALA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15076-2026</t>
        </is>
      </c>
      <c r="B432" s="1" t="n">
        <v>46105.248125</v>
      </c>
      <c r="C432" s="1" t="n">
        <v>46112</v>
      </c>
      <c r="D432" t="inlineStr">
        <is>
          <t>ÖSTERGÖTLANDS LÄN</t>
        </is>
      </c>
      <c r="E432" t="inlineStr">
        <is>
          <t>MOTALA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8794-2026</t>
        </is>
      </c>
      <c r="B433" s="1" t="n">
        <v>46066.59268518518</v>
      </c>
      <c r="C433" s="1" t="n">
        <v>46112</v>
      </c>
      <c r="D433" t="inlineStr">
        <is>
          <t>ÖSTERGÖTLANDS LÄN</t>
        </is>
      </c>
      <c r="E433" t="inlineStr">
        <is>
          <t>MOTALA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27410-2024</t>
        </is>
      </c>
      <c r="B434" s="1" t="n">
        <v>45473</v>
      </c>
      <c r="C434" s="1" t="n">
        <v>46112</v>
      </c>
      <c r="D434" t="inlineStr">
        <is>
          <t>ÖSTERGÖTLANDS LÄN</t>
        </is>
      </c>
      <c r="E434" t="inlineStr">
        <is>
          <t>MOTALA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1178-2024</t>
        </is>
      </c>
      <c r="B435" s="1" t="n">
        <v>45302</v>
      </c>
      <c r="C435" s="1" t="n">
        <v>46112</v>
      </c>
      <c r="D435" t="inlineStr">
        <is>
          <t>ÖSTERGÖTLANDS LÄN</t>
        </is>
      </c>
      <c r="E435" t="inlineStr">
        <is>
          <t>MOTALA</t>
        </is>
      </c>
      <c r="F435" t="inlineStr">
        <is>
          <t>Övriga statliga verk och myndigheter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8779-2026</t>
        </is>
      </c>
      <c r="B436" s="1" t="n">
        <v>46066.58115740741</v>
      </c>
      <c r="C436" s="1" t="n">
        <v>46112</v>
      </c>
      <c r="D436" t="inlineStr">
        <is>
          <t>ÖSTERGÖTLANDS LÄN</t>
        </is>
      </c>
      <c r="E436" t="inlineStr">
        <is>
          <t>MOTALA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8774-2026</t>
        </is>
      </c>
      <c r="B437" s="1" t="n">
        <v>46066.57773148148</v>
      </c>
      <c r="C437" s="1" t="n">
        <v>46112</v>
      </c>
      <c r="D437" t="inlineStr">
        <is>
          <t>ÖSTERGÖTLANDS LÄN</t>
        </is>
      </c>
      <c r="E437" t="inlineStr">
        <is>
          <t>MOTALA</t>
        </is>
      </c>
      <c r="F437" t="inlineStr">
        <is>
          <t>Sveaskog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8776-2026</t>
        </is>
      </c>
      <c r="B438" s="1" t="n">
        <v>46066.57928240741</v>
      </c>
      <c r="C438" s="1" t="n">
        <v>46112</v>
      </c>
      <c r="D438" t="inlineStr">
        <is>
          <t>ÖSTERGÖTLANDS LÄN</t>
        </is>
      </c>
      <c r="E438" t="inlineStr">
        <is>
          <t>MOTALA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8784-2026</t>
        </is>
      </c>
      <c r="B439" s="1" t="n">
        <v>46066.58564814815</v>
      </c>
      <c r="C439" s="1" t="n">
        <v>46112</v>
      </c>
      <c r="D439" t="inlineStr">
        <is>
          <t>ÖSTERGÖTLANDS LÄN</t>
        </is>
      </c>
      <c r="E439" t="inlineStr">
        <is>
          <t>MOTALA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8620-2026</t>
        </is>
      </c>
      <c r="B440" s="1" t="n">
        <v>46066.30559027778</v>
      </c>
      <c r="C440" s="1" t="n">
        <v>46112</v>
      </c>
      <c r="D440" t="inlineStr">
        <is>
          <t>ÖSTERGÖTLANDS LÄN</t>
        </is>
      </c>
      <c r="E440" t="inlineStr">
        <is>
          <t>MOTALA</t>
        </is>
      </c>
      <c r="F440" t="inlineStr">
        <is>
          <t>Sveaskog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18915-2023</t>
        </is>
      </c>
      <c r="B441" s="1" t="n">
        <v>45043</v>
      </c>
      <c r="C441" s="1" t="n">
        <v>46112</v>
      </c>
      <c r="D441" t="inlineStr">
        <is>
          <t>ÖSTERGÖTLANDS LÄN</t>
        </is>
      </c>
      <c r="E441" t="inlineStr">
        <is>
          <t>MOTALA</t>
        </is>
      </c>
      <c r="F441" t="inlineStr">
        <is>
          <t>Övriga statliga verk och myndigheter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9000-2026</t>
        </is>
      </c>
      <c r="B442" s="1" t="n">
        <v>46069.47415509259</v>
      </c>
      <c r="C442" s="1" t="n">
        <v>46112</v>
      </c>
      <c r="D442" t="inlineStr">
        <is>
          <t>ÖSTERGÖTLANDS LÄN</t>
        </is>
      </c>
      <c r="E442" t="inlineStr">
        <is>
          <t>MOTALA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9002-2026</t>
        </is>
      </c>
      <c r="B443" s="1" t="n">
        <v>46069.47732638889</v>
      </c>
      <c r="C443" s="1" t="n">
        <v>46112</v>
      </c>
      <c r="D443" t="inlineStr">
        <is>
          <t>ÖSTERGÖTLANDS LÄN</t>
        </is>
      </c>
      <c r="E443" t="inlineStr">
        <is>
          <t>MOTALA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8781-2026</t>
        </is>
      </c>
      <c r="B444" s="1" t="n">
        <v>46066.58233796297</v>
      </c>
      <c r="C444" s="1" t="n">
        <v>46112</v>
      </c>
      <c r="D444" t="inlineStr">
        <is>
          <t>ÖSTERGÖTLANDS LÄN</t>
        </is>
      </c>
      <c r="E444" t="inlineStr">
        <is>
          <t>MOTALA</t>
        </is>
      </c>
      <c r="F444" t="inlineStr">
        <is>
          <t>Sveaskog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8783-2026</t>
        </is>
      </c>
      <c r="B445" s="1" t="n">
        <v>46066.58420138889</v>
      </c>
      <c r="C445" s="1" t="n">
        <v>46112</v>
      </c>
      <c r="D445" t="inlineStr">
        <is>
          <t>ÖSTERGÖTLANDS LÄN</t>
        </is>
      </c>
      <c r="E445" t="inlineStr">
        <is>
          <t>MOTALA</t>
        </is>
      </c>
      <c r="F445" t="inlineStr">
        <is>
          <t>Sveaskog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18924-2024</t>
        </is>
      </c>
      <c r="B446" s="1" t="n">
        <v>45427</v>
      </c>
      <c r="C446" s="1" t="n">
        <v>46112</v>
      </c>
      <c r="D446" t="inlineStr">
        <is>
          <t>ÖSTERGÖTLANDS LÄN</t>
        </is>
      </c>
      <c r="E446" t="inlineStr">
        <is>
          <t>MOTALA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21204-2024</t>
        </is>
      </c>
      <c r="B447" s="1" t="n">
        <v>45440.54711805555</v>
      </c>
      <c r="C447" s="1" t="n">
        <v>46112</v>
      </c>
      <c r="D447" t="inlineStr">
        <is>
          <t>ÖSTERGÖTLANDS LÄN</t>
        </is>
      </c>
      <c r="E447" t="inlineStr">
        <is>
          <t>MOTALA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12274-2022</t>
        </is>
      </c>
      <c r="B448" s="1" t="n">
        <v>44637</v>
      </c>
      <c r="C448" s="1" t="n">
        <v>46112</v>
      </c>
      <c r="D448" t="inlineStr">
        <is>
          <t>ÖSTERGÖTLANDS LÄN</t>
        </is>
      </c>
      <c r="E448" t="inlineStr">
        <is>
          <t>MOTALA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12091-2023</t>
        </is>
      </c>
      <c r="B449" s="1" t="n">
        <v>44998</v>
      </c>
      <c r="C449" s="1" t="n">
        <v>46112</v>
      </c>
      <c r="D449" t="inlineStr">
        <is>
          <t>ÖSTERGÖTLANDS LÄN</t>
        </is>
      </c>
      <c r="E449" t="inlineStr">
        <is>
          <t>MOTALA</t>
        </is>
      </c>
      <c r="F449" t="inlineStr">
        <is>
          <t>Sveaskog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4271-2025</t>
        </is>
      </c>
      <c r="B450" s="1" t="n">
        <v>45685.62975694444</v>
      </c>
      <c r="C450" s="1" t="n">
        <v>46112</v>
      </c>
      <c r="D450" t="inlineStr">
        <is>
          <t>ÖSTERGÖTLANDS LÄN</t>
        </is>
      </c>
      <c r="E450" t="inlineStr">
        <is>
          <t>MOTALA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7925-2022</t>
        </is>
      </c>
      <c r="B451" s="1" t="n">
        <v>44608.74425925926</v>
      </c>
      <c r="C451" s="1" t="n">
        <v>46112</v>
      </c>
      <c r="D451" t="inlineStr">
        <is>
          <t>ÖSTERGÖTLANDS LÄN</t>
        </is>
      </c>
      <c r="E451" t="inlineStr">
        <is>
          <t>MOTALA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7927-2022</t>
        </is>
      </c>
      <c r="B452" s="1" t="n">
        <v>44608.74908564815</v>
      </c>
      <c r="C452" s="1" t="n">
        <v>46112</v>
      </c>
      <c r="D452" t="inlineStr">
        <is>
          <t>ÖSTERGÖTLANDS LÄN</t>
        </is>
      </c>
      <c r="E452" t="inlineStr">
        <is>
          <t>MOTALA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47875-2021</t>
        </is>
      </c>
      <c r="B453" s="1" t="n">
        <v>44448</v>
      </c>
      <c r="C453" s="1" t="n">
        <v>46112</v>
      </c>
      <c r="D453" t="inlineStr">
        <is>
          <t>ÖSTERGÖTLANDS LÄN</t>
        </is>
      </c>
      <c r="E453" t="inlineStr">
        <is>
          <t>MOTALA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12258-2024</t>
        </is>
      </c>
      <c r="B454" s="1" t="n">
        <v>45378.45327546296</v>
      </c>
      <c r="C454" s="1" t="n">
        <v>46112</v>
      </c>
      <c r="D454" t="inlineStr">
        <is>
          <t>ÖSTERGÖTLANDS LÄN</t>
        </is>
      </c>
      <c r="E454" t="inlineStr">
        <is>
          <t>MOTALA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24254-2022</t>
        </is>
      </c>
      <c r="B455" s="1" t="n">
        <v>44725.680625</v>
      </c>
      <c r="C455" s="1" t="n">
        <v>46112</v>
      </c>
      <c r="D455" t="inlineStr">
        <is>
          <t>ÖSTERGÖTLANDS LÄN</t>
        </is>
      </c>
      <c r="E455" t="inlineStr">
        <is>
          <t>MOTALA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10324-2023</t>
        </is>
      </c>
      <c r="B456" s="1" t="n">
        <v>44987.29300925926</v>
      </c>
      <c r="C456" s="1" t="n">
        <v>46112</v>
      </c>
      <c r="D456" t="inlineStr">
        <is>
          <t>ÖSTERGÖTLANDS LÄN</t>
        </is>
      </c>
      <c r="E456" t="inlineStr">
        <is>
          <t>MOTALA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12156-2024</t>
        </is>
      </c>
      <c r="B457" s="1" t="n">
        <v>45377.77662037037</v>
      </c>
      <c r="C457" s="1" t="n">
        <v>46112</v>
      </c>
      <c r="D457" t="inlineStr">
        <is>
          <t>ÖSTERGÖTLANDS LÄN</t>
        </is>
      </c>
      <c r="E457" t="inlineStr">
        <is>
          <t>MOTALA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51762-2024</t>
        </is>
      </c>
      <c r="B458" s="1" t="n">
        <v>45607.44199074074</v>
      </c>
      <c r="C458" s="1" t="n">
        <v>46112</v>
      </c>
      <c r="D458" t="inlineStr">
        <is>
          <t>ÖSTERGÖTLANDS LÄN</t>
        </is>
      </c>
      <c r="E458" t="inlineStr">
        <is>
          <t>MOTALA</t>
        </is>
      </c>
      <c r="F458" t="inlineStr">
        <is>
          <t>Sveaskog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12155-2024</t>
        </is>
      </c>
      <c r="B459" s="1" t="n">
        <v>45377</v>
      </c>
      <c r="C459" s="1" t="n">
        <v>46112</v>
      </c>
      <c r="D459" t="inlineStr">
        <is>
          <t>ÖSTERGÖTLANDS LÄN</t>
        </is>
      </c>
      <c r="E459" t="inlineStr">
        <is>
          <t>MOTALA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27418-2022</t>
        </is>
      </c>
      <c r="B460" s="1" t="n">
        <v>44742.50715277778</v>
      </c>
      <c r="C460" s="1" t="n">
        <v>46112</v>
      </c>
      <c r="D460" t="inlineStr">
        <is>
          <t>ÖSTERGÖTLANDS LÄN</t>
        </is>
      </c>
      <c r="E460" t="inlineStr">
        <is>
          <t>MOTALA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57705-2023</t>
        </is>
      </c>
      <c r="B461" s="1" t="n">
        <v>45243</v>
      </c>
      <c r="C461" s="1" t="n">
        <v>46112</v>
      </c>
      <c r="D461" t="inlineStr">
        <is>
          <t>ÖSTERGÖTLANDS LÄN</t>
        </is>
      </c>
      <c r="E461" t="inlineStr">
        <is>
          <t>MOTALA</t>
        </is>
      </c>
      <c r="F461" t="inlineStr">
        <is>
          <t>Övriga statliga verk och myndigheter</t>
        </is>
      </c>
      <c r="G461" t="n">
        <v>25.1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3345-2023</t>
        </is>
      </c>
      <c r="B462" s="1" t="n">
        <v>44949</v>
      </c>
      <c r="C462" s="1" t="n">
        <v>46112</v>
      </c>
      <c r="D462" t="inlineStr">
        <is>
          <t>ÖSTERGÖTLANDS LÄN</t>
        </is>
      </c>
      <c r="E462" t="inlineStr">
        <is>
          <t>MOTALA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57697-2023</t>
        </is>
      </c>
      <c r="B463" s="1" t="n">
        <v>45243</v>
      </c>
      <c r="C463" s="1" t="n">
        <v>46112</v>
      </c>
      <c r="D463" t="inlineStr">
        <is>
          <t>ÖSTERGÖTLANDS LÄN</t>
        </is>
      </c>
      <c r="E463" t="inlineStr">
        <is>
          <t>MOTALA</t>
        </is>
      </c>
      <c r="F463" t="inlineStr">
        <is>
          <t>Övriga statliga verk och myndigheter</t>
        </is>
      </c>
      <c r="G463" t="n">
        <v>24.8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35459-2021</t>
        </is>
      </c>
      <c r="B464" s="1" t="n">
        <v>44385.55951388889</v>
      </c>
      <c r="C464" s="1" t="n">
        <v>46112</v>
      </c>
      <c r="D464" t="inlineStr">
        <is>
          <t>ÖSTERGÖTLANDS LÄN</t>
        </is>
      </c>
      <c r="E464" t="inlineStr">
        <is>
          <t>MOTALA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63150-2023</t>
        </is>
      </c>
      <c r="B465" s="1" t="n">
        <v>45273</v>
      </c>
      <c r="C465" s="1" t="n">
        <v>46112</v>
      </c>
      <c r="D465" t="inlineStr">
        <is>
          <t>ÖSTERGÖTLANDS LÄN</t>
        </is>
      </c>
      <c r="E465" t="inlineStr">
        <is>
          <t>MOTALA</t>
        </is>
      </c>
      <c r="F465" t="inlineStr">
        <is>
          <t>Kyrkan</t>
        </is>
      </c>
      <c r="G465" t="n">
        <v>8.4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36725-2022</t>
        </is>
      </c>
      <c r="B466" s="1" t="n">
        <v>44804</v>
      </c>
      <c r="C466" s="1" t="n">
        <v>46112</v>
      </c>
      <c r="D466" t="inlineStr">
        <is>
          <t>ÖSTERGÖTLANDS LÄN</t>
        </is>
      </c>
      <c r="E466" t="inlineStr">
        <is>
          <t>MOTALA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43905-2021</t>
        </is>
      </c>
      <c r="B467" s="1" t="n">
        <v>44434</v>
      </c>
      <c r="C467" s="1" t="n">
        <v>46112</v>
      </c>
      <c r="D467" t="inlineStr">
        <is>
          <t>ÖSTERGÖTLANDS LÄN</t>
        </is>
      </c>
      <c r="E467" t="inlineStr">
        <is>
          <t>MOTALA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42311-2021</t>
        </is>
      </c>
      <c r="B468" s="1" t="n">
        <v>44427</v>
      </c>
      <c r="C468" s="1" t="n">
        <v>46112</v>
      </c>
      <c r="D468" t="inlineStr">
        <is>
          <t>ÖSTERGÖTLANDS LÄN</t>
        </is>
      </c>
      <c r="E468" t="inlineStr">
        <is>
          <t>MOTALA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55295-2023</t>
        </is>
      </c>
      <c r="B469" s="1" t="n">
        <v>45237</v>
      </c>
      <c r="C469" s="1" t="n">
        <v>46112</v>
      </c>
      <c r="D469" t="inlineStr">
        <is>
          <t>ÖSTERGÖTLANDS LÄN</t>
        </is>
      </c>
      <c r="E469" t="inlineStr">
        <is>
          <t>MOTALA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65561-2021</t>
        </is>
      </c>
      <c r="B470" s="1" t="n">
        <v>44516</v>
      </c>
      <c r="C470" s="1" t="n">
        <v>46112</v>
      </c>
      <c r="D470" t="inlineStr">
        <is>
          <t>ÖSTERGÖTLANDS LÄN</t>
        </is>
      </c>
      <c r="E470" t="inlineStr">
        <is>
          <t>MOTALA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32470-2022</t>
        </is>
      </c>
      <c r="B471" s="1" t="n">
        <v>44782</v>
      </c>
      <c r="C471" s="1" t="n">
        <v>46112</v>
      </c>
      <c r="D471" t="inlineStr">
        <is>
          <t>ÖSTERGÖTLANDS LÄN</t>
        </is>
      </c>
      <c r="E471" t="inlineStr">
        <is>
          <t>MOTALA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15072-2025</t>
        </is>
      </c>
      <c r="B472" s="1" t="n">
        <v>45743.77622685185</v>
      </c>
      <c r="C472" s="1" t="n">
        <v>46112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1645-2022</t>
        </is>
      </c>
      <c r="B473" s="1" t="n">
        <v>44573</v>
      </c>
      <c r="C473" s="1" t="n">
        <v>46112</v>
      </c>
      <c r="D473" t="inlineStr">
        <is>
          <t>ÖSTERGÖTLANDS LÄN</t>
        </is>
      </c>
      <c r="E473" t="inlineStr">
        <is>
          <t>MOTALA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15069-2025</t>
        </is>
      </c>
      <c r="B474" s="1" t="n">
        <v>45743.77284722222</v>
      </c>
      <c r="C474" s="1" t="n">
        <v>46112</v>
      </c>
      <c r="D474" t="inlineStr">
        <is>
          <t>ÖSTERGÖTLANDS LÄN</t>
        </is>
      </c>
      <c r="E474" t="inlineStr">
        <is>
          <t>MOTALA</t>
        </is>
      </c>
      <c r="F474" t="inlineStr">
        <is>
          <t>Sveaskog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12434-2023</t>
        </is>
      </c>
      <c r="B475" s="1" t="n">
        <v>44999</v>
      </c>
      <c r="C475" s="1" t="n">
        <v>46112</v>
      </c>
      <c r="D475" t="inlineStr">
        <is>
          <t>ÖSTERGÖTLANDS LÄN</t>
        </is>
      </c>
      <c r="E475" t="inlineStr">
        <is>
          <t>MOTALA</t>
        </is>
      </c>
      <c r="F475" t="inlineStr">
        <is>
          <t>Allmännings- och besparingsskogar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42298-2023</t>
        </is>
      </c>
      <c r="B476" s="1" t="n">
        <v>45180.44695601852</v>
      </c>
      <c r="C476" s="1" t="n">
        <v>46112</v>
      </c>
      <c r="D476" t="inlineStr">
        <is>
          <t>ÖSTERGÖTLANDS LÄN</t>
        </is>
      </c>
      <c r="E476" t="inlineStr">
        <is>
          <t>MOTALA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46681-2021</t>
        </is>
      </c>
      <c r="B477" s="1" t="n">
        <v>44445</v>
      </c>
      <c r="C477" s="1" t="n">
        <v>46112</v>
      </c>
      <c r="D477" t="inlineStr">
        <is>
          <t>ÖSTERGÖTLANDS LÄN</t>
        </is>
      </c>
      <c r="E477" t="inlineStr">
        <is>
          <t>MOTALA</t>
        </is>
      </c>
      <c r="F477" t="inlineStr">
        <is>
          <t>Övriga statliga verk och myndigheter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56867-2022</t>
        </is>
      </c>
      <c r="B478" s="1" t="n">
        <v>44894.51788194444</v>
      </c>
      <c r="C478" s="1" t="n">
        <v>46112</v>
      </c>
      <c r="D478" t="inlineStr">
        <is>
          <t>ÖSTERGÖTLANDS LÄN</t>
        </is>
      </c>
      <c r="E478" t="inlineStr">
        <is>
          <t>MOTALA</t>
        </is>
      </c>
      <c r="F478" t="inlineStr">
        <is>
          <t>Sveaskog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27965-2024</t>
        </is>
      </c>
      <c r="B479" s="1" t="n">
        <v>45476.37353009259</v>
      </c>
      <c r="C479" s="1" t="n">
        <v>46112</v>
      </c>
      <c r="D479" t="inlineStr">
        <is>
          <t>ÖSTERGÖTLANDS LÄN</t>
        </is>
      </c>
      <c r="E479" t="inlineStr">
        <is>
          <t>MOTALA</t>
        </is>
      </c>
      <c r="F479" t="inlineStr">
        <is>
          <t>Holmen skog AB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58344-2022</t>
        </is>
      </c>
      <c r="B480" s="1" t="n">
        <v>44893</v>
      </c>
      <c r="C480" s="1" t="n">
        <v>46112</v>
      </c>
      <c r="D480" t="inlineStr">
        <is>
          <t>ÖSTERGÖTLANDS LÄN</t>
        </is>
      </c>
      <c r="E480" t="inlineStr">
        <is>
          <t>MOTALA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29065-2021</t>
        </is>
      </c>
      <c r="B481" s="1" t="n">
        <v>44358</v>
      </c>
      <c r="C481" s="1" t="n">
        <v>46112</v>
      </c>
      <c r="D481" t="inlineStr">
        <is>
          <t>ÖSTERGÖTLANDS LÄN</t>
        </is>
      </c>
      <c r="E481" t="inlineStr">
        <is>
          <t>MOTALA</t>
        </is>
      </c>
      <c r="F481" t="inlineStr">
        <is>
          <t>Allmännings- och besparingsskogar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29081-2021</t>
        </is>
      </c>
      <c r="B482" s="1" t="n">
        <v>44358</v>
      </c>
      <c r="C482" s="1" t="n">
        <v>46112</v>
      </c>
      <c r="D482" t="inlineStr">
        <is>
          <t>ÖSTERGÖTLANDS LÄN</t>
        </is>
      </c>
      <c r="E482" t="inlineStr">
        <is>
          <t>MOTALA</t>
        </is>
      </c>
      <c r="F482" t="inlineStr">
        <is>
          <t>Allmännings- och besparingsskogar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16586-2023</t>
        </is>
      </c>
      <c r="B483" s="1" t="n">
        <v>45030</v>
      </c>
      <c r="C483" s="1" t="n">
        <v>46112</v>
      </c>
      <c r="D483" t="inlineStr">
        <is>
          <t>ÖSTERGÖTLANDS LÄN</t>
        </is>
      </c>
      <c r="E483" t="inlineStr">
        <is>
          <t>MOTALA</t>
        </is>
      </c>
      <c r="F483" t="inlineStr">
        <is>
          <t>Kyrkan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12643-2022</t>
        </is>
      </c>
      <c r="B484" s="1" t="n">
        <v>44641</v>
      </c>
      <c r="C484" s="1" t="n">
        <v>46112</v>
      </c>
      <c r="D484" t="inlineStr">
        <is>
          <t>ÖSTERGÖTLANDS LÄN</t>
        </is>
      </c>
      <c r="E484" t="inlineStr">
        <is>
          <t>MOTALA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60029-2021</t>
        </is>
      </c>
      <c r="B485" s="1" t="n">
        <v>44494</v>
      </c>
      <c r="C485" s="1" t="n">
        <v>46112</v>
      </c>
      <c r="D485" t="inlineStr">
        <is>
          <t>ÖSTERGÖTLANDS LÄN</t>
        </is>
      </c>
      <c r="E485" t="inlineStr">
        <is>
          <t>MOTALA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637-2023</t>
        </is>
      </c>
      <c r="B486" s="1" t="n">
        <v>44930</v>
      </c>
      <c r="C486" s="1" t="n">
        <v>46112</v>
      </c>
      <c r="D486" t="inlineStr">
        <is>
          <t>ÖSTERGÖTLANDS LÄN</t>
        </is>
      </c>
      <c r="E486" t="inlineStr">
        <is>
          <t>MOTALA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62065-2023</t>
        </is>
      </c>
      <c r="B487" s="1" t="n">
        <v>45266</v>
      </c>
      <c r="C487" s="1" t="n">
        <v>46112</v>
      </c>
      <c r="D487" t="inlineStr">
        <is>
          <t>ÖSTERGÖTLANDS LÄN</t>
        </is>
      </c>
      <c r="E487" t="inlineStr">
        <is>
          <t>MOTALA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17543-2022</t>
        </is>
      </c>
      <c r="B488" s="1" t="n">
        <v>44679.62341435185</v>
      </c>
      <c r="C488" s="1" t="n">
        <v>46112</v>
      </c>
      <c r="D488" t="inlineStr">
        <is>
          <t>ÖSTERGÖTLANDS LÄN</t>
        </is>
      </c>
      <c r="E488" t="inlineStr">
        <is>
          <t>MOTALA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31744-2022</t>
        </is>
      </c>
      <c r="B489" s="1" t="n">
        <v>44776</v>
      </c>
      <c r="C489" s="1" t="n">
        <v>46112</v>
      </c>
      <c r="D489" t="inlineStr">
        <is>
          <t>ÖSTERGÖTLANDS LÄN</t>
        </is>
      </c>
      <c r="E489" t="inlineStr">
        <is>
          <t>MOTALA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53322-2023</t>
        </is>
      </c>
      <c r="B490" s="1" t="n">
        <v>45229.61693287037</v>
      </c>
      <c r="C490" s="1" t="n">
        <v>46112</v>
      </c>
      <c r="D490" t="inlineStr">
        <is>
          <t>ÖSTERGÖTLANDS LÄN</t>
        </is>
      </c>
      <c r="E490" t="inlineStr">
        <is>
          <t>MOTALA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47999-2023</t>
        </is>
      </c>
      <c r="B491" s="1" t="n">
        <v>45204.63829861111</v>
      </c>
      <c r="C491" s="1" t="n">
        <v>46112</v>
      </c>
      <c r="D491" t="inlineStr">
        <is>
          <t>ÖSTERGÖTLANDS LÄN</t>
        </is>
      </c>
      <c r="E491" t="inlineStr">
        <is>
          <t>MOTALA</t>
        </is>
      </c>
      <c r="F491" t="inlineStr">
        <is>
          <t>Allmännings- och besparingsskogar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51638-2023</t>
        </is>
      </c>
      <c r="B492" s="1" t="n">
        <v>45222</v>
      </c>
      <c r="C492" s="1" t="n">
        <v>46112</v>
      </c>
      <c r="D492" t="inlineStr">
        <is>
          <t>ÖSTERGÖTLANDS LÄN</t>
        </is>
      </c>
      <c r="E492" t="inlineStr">
        <is>
          <t>MOTALA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24252-2022</t>
        </is>
      </c>
      <c r="B493" s="1" t="n">
        <v>44725.67675925926</v>
      </c>
      <c r="C493" s="1" t="n">
        <v>46112</v>
      </c>
      <c r="D493" t="inlineStr">
        <is>
          <t>ÖSTERGÖTLANDS LÄN</t>
        </is>
      </c>
      <c r="E493" t="inlineStr">
        <is>
          <t>MOTALA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40518-2022</t>
        </is>
      </c>
      <c r="B494" s="1" t="n">
        <v>44819</v>
      </c>
      <c r="C494" s="1" t="n">
        <v>46112</v>
      </c>
      <c r="D494" t="inlineStr">
        <is>
          <t>ÖSTERGÖTLANDS LÄN</t>
        </is>
      </c>
      <c r="E494" t="inlineStr">
        <is>
          <t>MOTALA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20358-2025</t>
        </is>
      </c>
      <c r="B495" s="1" t="n">
        <v>45775.39516203704</v>
      </c>
      <c r="C495" s="1" t="n">
        <v>46112</v>
      </c>
      <c r="D495" t="inlineStr">
        <is>
          <t>ÖSTERGÖTLANDS LÄN</t>
        </is>
      </c>
      <c r="E495" t="inlineStr">
        <is>
          <t>MOTALA</t>
        </is>
      </c>
      <c r="F495" t="inlineStr">
        <is>
          <t>Sveaskog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41937-2022</t>
        </is>
      </c>
      <c r="B496" s="1" t="n">
        <v>44830.37741898148</v>
      </c>
      <c r="C496" s="1" t="n">
        <v>46112</v>
      </c>
      <c r="D496" t="inlineStr">
        <is>
          <t>ÖSTERGÖTLANDS LÄN</t>
        </is>
      </c>
      <c r="E496" t="inlineStr">
        <is>
          <t>MOTALA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41898-2022</t>
        </is>
      </c>
      <c r="B497" s="1" t="n">
        <v>44830.34554398148</v>
      </c>
      <c r="C497" s="1" t="n">
        <v>46112</v>
      </c>
      <c r="D497" t="inlineStr">
        <is>
          <t>ÖSTERGÖTLANDS LÄN</t>
        </is>
      </c>
      <c r="E497" t="inlineStr">
        <is>
          <t>MOTALA</t>
        </is>
      </c>
      <c r="F497" t="inlineStr">
        <is>
          <t>Sveaskog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4873-2024</t>
        </is>
      </c>
      <c r="B498" s="1" t="n">
        <v>45329.43833333333</v>
      </c>
      <c r="C498" s="1" t="n">
        <v>46112</v>
      </c>
      <c r="D498" t="inlineStr">
        <is>
          <t>ÖSTERGÖTLANDS LÄN</t>
        </is>
      </c>
      <c r="E498" t="inlineStr">
        <is>
          <t>MOTALA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4506-2024</t>
        </is>
      </c>
      <c r="B499" s="1" t="n">
        <v>45327</v>
      </c>
      <c r="C499" s="1" t="n">
        <v>46112</v>
      </c>
      <c r="D499" t="inlineStr">
        <is>
          <t>ÖSTERGÖTLANDS LÄN</t>
        </is>
      </c>
      <c r="E499" t="inlineStr">
        <is>
          <t>MOTALA</t>
        </is>
      </c>
      <c r="F499" t="inlineStr">
        <is>
          <t>Allmännings- och besparingsskogar</t>
        </is>
      </c>
      <c r="G499" t="n">
        <v>15.7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18419-2025</t>
        </is>
      </c>
      <c r="B500" s="1" t="n">
        <v>45762.61836805556</v>
      </c>
      <c r="C500" s="1" t="n">
        <v>46112</v>
      </c>
      <c r="D500" t="inlineStr">
        <is>
          <t>ÖSTERGÖTLANDS LÄN</t>
        </is>
      </c>
      <c r="E500" t="inlineStr">
        <is>
          <t>MOTALA</t>
        </is>
      </c>
      <c r="F500" t="inlineStr">
        <is>
          <t>Sveaskog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18422-2025</t>
        </is>
      </c>
      <c r="B501" s="1" t="n">
        <v>45762.61935185185</v>
      </c>
      <c r="C501" s="1" t="n">
        <v>46112</v>
      </c>
      <c r="D501" t="inlineStr">
        <is>
          <t>ÖSTERGÖTLANDS LÄN</t>
        </is>
      </c>
      <c r="E501" t="inlineStr">
        <is>
          <t>MOTALA</t>
        </is>
      </c>
      <c r="F501" t="inlineStr">
        <is>
          <t>Sveaskog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735-2023</t>
        </is>
      </c>
      <c r="B502" s="1" t="n">
        <v>44931.32121527778</v>
      </c>
      <c r="C502" s="1" t="n">
        <v>46112</v>
      </c>
      <c r="D502" t="inlineStr">
        <is>
          <t>ÖSTERGÖTLANDS LÄN</t>
        </is>
      </c>
      <c r="E502" t="inlineStr">
        <is>
          <t>MOTALA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7034-2024</t>
        </is>
      </c>
      <c r="B503" s="1" t="n">
        <v>45343</v>
      </c>
      <c r="C503" s="1" t="n">
        <v>46112</v>
      </c>
      <c r="D503" t="inlineStr">
        <is>
          <t>ÖSTERGÖTLANDS LÄN</t>
        </is>
      </c>
      <c r="E503" t="inlineStr">
        <is>
          <t>MOTALA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26338-2023</t>
        </is>
      </c>
      <c r="B504" s="1" t="n">
        <v>45091.86737268518</v>
      </c>
      <c r="C504" s="1" t="n">
        <v>46112</v>
      </c>
      <c r="D504" t="inlineStr">
        <is>
          <t>ÖSTERGÖTLANDS LÄN</t>
        </is>
      </c>
      <c r="E504" t="inlineStr">
        <is>
          <t>MOTALA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59570-2022</t>
        </is>
      </c>
      <c r="B505" s="1" t="n">
        <v>44907</v>
      </c>
      <c r="C505" s="1" t="n">
        <v>46112</v>
      </c>
      <c r="D505" t="inlineStr">
        <is>
          <t>ÖSTERGÖTLANDS LÄN</t>
        </is>
      </c>
      <c r="E505" t="inlineStr">
        <is>
          <t>MOTALA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20925-2025</t>
        </is>
      </c>
      <c r="B506" s="1" t="n">
        <v>45777.4182175926</v>
      </c>
      <c r="C506" s="1" t="n">
        <v>46112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18390-2025</t>
        </is>
      </c>
      <c r="B507" s="1" t="n">
        <v>45762.59059027778</v>
      </c>
      <c r="C507" s="1" t="n">
        <v>46112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21793-2025</t>
        </is>
      </c>
      <c r="B508" s="1" t="n">
        <v>45783.67818287037</v>
      </c>
      <c r="C508" s="1" t="n">
        <v>46112</v>
      </c>
      <c r="D508" t="inlineStr">
        <is>
          <t>ÖSTERGÖTLANDS LÄN</t>
        </is>
      </c>
      <c r="E508" t="inlineStr">
        <is>
          <t>MOTALA</t>
        </is>
      </c>
      <c r="F508" t="inlineStr">
        <is>
          <t>Allmännings- och besparingsskogar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53781-2024</t>
        </is>
      </c>
      <c r="B509" s="1" t="n">
        <v>45615.55868055556</v>
      </c>
      <c r="C509" s="1" t="n">
        <v>46112</v>
      </c>
      <c r="D509" t="inlineStr">
        <is>
          <t>ÖSTERGÖTLANDS LÄN</t>
        </is>
      </c>
      <c r="E509" t="inlineStr">
        <is>
          <t>MOTALA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21309-2025</t>
        </is>
      </c>
      <c r="B510" s="1" t="n">
        <v>45781.58949074074</v>
      </c>
      <c r="C510" s="1" t="n">
        <v>46112</v>
      </c>
      <c r="D510" t="inlineStr">
        <is>
          <t>ÖSTERGÖTLANDS LÄN</t>
        </is>
      </c>
      <c r="E510" t="inlineStr">
        <is>
          <t>MOTALA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8352-2025</t>
        </is>
      </c>
      <c r="B511" s="1" t="n">
        <v>45708</v>
      </c>
      <c r="C511" s="1" t="n">
        <v>46112</v>
      </c>
      <c r="D511" t="inlineStr">
        <is>
          <t>ÖSTERGÖTLANDS LÄN</t>
        </is>
      </c>
      <c r="E511" t="inlineStr">
        <is>
          <t>MOTALA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58678-2024</t>
        </is>
      </c>
      <c r="B512" s="1" t="n">
        <v>45632</v>
      </c>
      <c r="C512" s="1" t="n">
        <v>46112</v>
      </c>
      <c r="D512" t="inlineStr">
        <is>
          <t>ÖSTERGÖTLANDS LÄN</t>
        </is>
      </c>
      <c r="E512" t="inlineStr">
        <is>
          <t>MOTALA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58997-2022</t>
        </is>
      </c>
      <c r="B513" s="1" t="n">
        <v>44903.7278125</v>
      </c>
      <c r="C513" s="1" t="n">
        <v>46112</v>
      </c>
      <c r="D513" t="inlineStr">
        <is>
          <t>ÖSTERGÖTLANDS LÄN</t>
        </is>
      </c>
      <c r="E513" t="inlineStr">
        <is>
          <t>MOTALA</t>
        </is>
      </c>
      <c r="F513" t="inlineStr">
        <is>
          <t>Allmännings- och besparingsskogar</t>
        </is>
      </c>
      <c r="G513" t="n">
        <v>37.7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26606-2024</t>
        </is>
      </c>
      <c r="B514" s="1" t="n">
        <v>45469.7152662037</v>
      </c>
      <c r="C514" s="1" t="n">
        <v>46112</v>
      </c>
      <c r="D514" t="inlineStr">
        <is>
          <t>ÖSTERGÖTLANDS LÄN</t>
        </is>
      </c>
      <c r="E514" t="inlineStr">
        <is>
          <t>MOTALA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22425-2025</t>
        </is>
      </c>
      <c r="B515" s="1" t="n">
        <v>45786.57274305556</v>
      </c>
      <c r="C515" s="1" t="n">
        <v>46112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12609-2025</t>
        </is>
      </c>
      <c r="B516" s="1" t="n">
        <v>45733.33138888889</v>
      </c>
      <c r="C516" s="1" t="n">
        <v>46112</v>
      </c>
      <c r="D516" t="inlineStr">
        <is>
          <t>ÖSTERGÖTLANDS LÄN</t>
        </is>
      </c>
      <c r="E516" t="inlineStr">
        <is>
          <t>MOTALA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50749-2024</t>
        </is>
      </c>
      <c r="B517" s="1" t="n">
        <v>45602.42363425926</v>
      </c>
      <c r="C517" s="1" t="n">
        <v>46112</v>
      </c>
      <c r="D517" t="inlineStr">
        <is>
          <t>ÖSTERGÖTLANDS LÄN</t>
        </is>
      </c>
      <c r="E517" t="inlineStr">
        <is>
          <t>MOTALA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48058-2024</t>
        </is>
      </c>
      <c r="B518" s="1" t="n">
        <v>45589</v>
      </c>
      <c r="C518" s="1" t="n">
        <v>46112</v>
      </c>
      <c r="D518" t="inlineStr">
        <is>
          <t>ÖSTERGÖTLANDS LÄN</t>
        </is>
      </c>
      <c r="E518" t="inlineStr">
        <is>
          <t>MOTALA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51728-2024</t>
        </is>
      </c>
      <c r="B519" s="1" t="n">
        <v>45604</v>
      </c>
      <c r="C519" s="1" t="n">
        <v>46112</v>
      </c>
      <c r="D519" t="inlineStr">
        <is>
          <t>ÖSTERGÖTLANDS LÄN</t>
        </is>
      </c>
      <c r="E519" t="inlineStr">
        <is>
          <t>MOTALA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13690-2024</t>
        </is>
      </c>
      <c r="B520" s="1" t="n">
        <v>45390.5737037037</v>
      </c>
      <c r="C520" s="1" t="n">
        <v>46112</v>
      </c>
      <c r="D520" t="inlineStr">
        <is>
          <t>ÖSTERGÖTLANDS LÄN</t>
        </is>
      </c>
      <c r="E520" t="inlineStr">
        <is>
          <t>MOTALA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51648-2023</t>
        </is>
      </c>
      <c r="B521" s="1" t="n">
        <v>45222</v>
      </c>
      <c r="C521" s="1" t="n">
        <v>46112</v>
      </c>
      <c r="D521" t="inlineStr">
        <is>
          <t>ÖSTERGÖTLANDS LÄN</t>
        </is>
      </c>
      <c r="E521" t="inlineStr">
        <is>
          <t>MOTALA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23181-2025</t>
        </is>
      </c>
      <c r="B522" s="1" t="n">
        <v>45791.4412037037</v>
      </c>
      <c r="C522" s="1" t="n">
        <v>46112</v>
      </c>
      <c r="D522" t="inlineStr">
        <is>
          <t>ÖSTERGÖTLANDS LÄN</t>
        </is>
      </c>
      <c r="E522" t="inlineStr">
        <is>
          <t>MOTALA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23757-2025</t>
        </is>
      </c>
      <c r="B523" s="1" t="n">
        <v>45793.46055555555</v>
      </c>
      <c r="C523" s="1" t="n">
        <v>46112</v>
      </c>
      <c r="D523" t="inlineStr">
        <is>
          <t>ÖSTERGÖTLANDS LÄN</t>
        </is>
      </c>
      <c r="E523" t="inlineStr">
        <is>
          <t>MOTALA</t>
        </is>
      </c>
      <c r="F523" t="inlineStr">
        <is>
          <t>Allmännings- och besparingsskogar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1074-2025</t>
        </is>
      </c>
      <c r="B524" s="1" t="n">
        <v>45666.60127314815</v>
      </c>
      <c r="C524" s="1" t="n">
        <v>46112</v>
      </c>
      <c r="D524" t="inlineStr">
        <is>
          <t>ÖSTERGÖTLANDS LÄN</t>
        </is>
      </c>
      <c r="E524" t="inlineStr">
        <is>
          <t>MOTALA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38881-2024</t>
        </is>
      </c>
      <c r="B525" s="1" t="n">
        <v>45547.65758101852</v>
      </c>
      <c r="C525" s="1" t="n">
        <v>46112</v>
      </c>
      <c r="D525" t="inlineStr">
        <is>
          <t>ÖSTERGÖTLANDS LÄN</t>
        </is>
      </c>
      <c r="E525" t="inlineStr">
        <is>
          <t>MOTALA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57506-2024</t>
        </is>
      </c>
      <c r="B526" s="1" t="n">
        <v>45629</v>
      </c>
      <c r="C526" s="1" t="n">
        <v>46112</v>
      </c>
      <c r="D526" t="inlineStr">
        <is>
          <t>ÖSTERGÖTLANDS LÄN</t>
        </is>
      </c>
      <c r="E526" t="inlineStr">
        <is>
          <t>MOTALA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60669-2024</t>
        </is>
      </c>
      <c r="B527" s="1" t="n">
        <v>45644.45380787037</v>
      </c>
      <c r="C527" s="1" t="n">
        <v>46112</v>
      </c>
      <c r="D527" t="inlineStr">
        <is>
          <t>ÖSTERGÖTLANDS LÄN</t>
        </is>
      </c>
      <c r="E527" t="inlineStr">
        <is>
          <t>MOTALA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57681-2024</t>
        </is>
      </c>
      <c r="B528" s="1" t="n">
        <v>45630</v>
      </c>
      <c r="C528" s="1" t="n">
        <v>46112</v>
      </c>
      <c r="D528" t="inlineStr">
        <is>
          <t>ÖSTERGÖTLANDS LÄN</t>
        </is>
      </c>
      <c r="E528" t="inlineStr">
        <is>
          <t>MOTALA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4979-2025</t>
        </is>
      </c>
      <c r="B529" s="1" t="n">
        <v>45689</v>
      </c>
      <c r="C529" s="1" t="n">
        <v>46112</v>
      </c>
      <c r="D529" t="inlineStr">
        <is>
          <t>ÖSTERGÖTLANDS LÄN</t>
        </is>
      </c>
      <c r="E529" t="inlineStr">
        <is>
          <t>MOTALA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24468-2025</t>
        </is>
      </c>
      <c r="B530" s="1" t="n">
        <v>45798.36552083334</v>
      </c>
      <c r="C530" s="1" t="n">
        <v>46112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24476-2025</t>
        </is>
      </c>
      <c r="B531" s="1" t="n">
        <v>45798.3758912037</v>
      </c>
      <c r="C531" s="1" t="n">
        <v>46112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24484-2025</t>
        </is>
      </c>
      <c r="B532" s="1" t="n">
        <v>45798.38299768518</v>
      </c>
      <c r="C532" s="1" t="n">
        <v>46112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24470-2025</t>
        </is>
      </c>
      <c r="B533" s="1" t="n">
        <v>45798.36651620371</v>
      </c>
      <c r="C533" s="1" t="n">
        <v>46112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24493-2025</t>
        </is>
      </c>
      <c r="B534" s="1" t="n">
        <v>45798.38623842593</v>
      </c>
      <c r="C534" s="1" t="n">
        <v>46112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24485-2025</t>
        </is>
      </c>
      <c r="B535" s="1" t="n">
        <v>45798.38446759259</v>
      </c>
      <c r="C535" s="1" t="n">
        <v>46112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24482-2025</t>
        </is>
      </c>
      <c r="B536" s="1" t="n">
        <v>45798.38162037037</v>
      </c>
      <c r="C536" s="1" t="n">
        <v>46112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12.5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25600-2025</t>
        </is>
      </c>
      <c r="B537" s="1" t="n">
        <v>45803.54116898148</v>
      </c>
      <c r="C537" s="1" t="n">
        <v>46112</v>
      </c>
      <c r="D537" t="inlineStr">
        <is>
          <t>ÖSTERGÖTLANDS LÄN</t>
        </is>
      </c>
      <c r="E537" t="inlineStr">
        <is>
          <t>MOTALA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26282-2025</t>
        </is>
      </c>
      <c r="B538" s="1" t="n">
        <v>45805.60946759259</v>
      </c>
      <c r="C538" s="1" t="n">
        <v>46112</v>
      </c>
      <c r="D538" t="inlineStr">
        <is>
          <t>ÖSTERGÖTLANDS LÄN</t>
        </is>
      </c>
      <c r="E538" t="inlineStr">
        <is>
          <t>MOTALA</t>
        </is>
      </c>
      <c r="F538" t="inlineStr">
        <is>
          <t>Sveaskog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26273-2025</t>
        </is>
      </c>
      <c r="B539" s="1" t="n">
        <v>45805.60137731482</v>
      </c>
      <c r="C539" s="1" t="n">
        <v>46112</v>
      </c>
      <c r="D539" t="inlineStr">
        <is>
          <t>ÖSTERGÖTLANDS LÄN</t>
        </is>
      </c>
      <c r="E539" t="inlineStr">
        <is>
          <t>MOTALA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26280-2025</t>
        </is>
      </c>
      <c r="B540" s="1" t="n">
        <v>45805.60756944444</v>
      </c>
      <c r="C540" s="1" t="n">
        <v>46112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26281-2025</t>
        </is>
      </c>
      <c r="B541" s="1" t="n">
        <v>45805.60854166667</v>
      </c>
      <c r="C541" s="1" t="n">
        <v>46112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17.3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2026-03-31T10:46:32Z</dcterms:created>
  <dcterms:modified xmlns:dcterms="http://purl.org/dc/terms/" xmlns:xsi="http://www.w3.org/2001/XMLSchema-instance" xsi:type="dcterms:W3CDTF">2026-03-31T10:46:32Z</dcterms:modified>
</cp:coreProperties>
</file>