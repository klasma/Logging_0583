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46216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46216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Y3">
        <f>HYPERLINK("https://klasma.github.io/Logging_0583/klagomål/A 27915-2026 FSC-klagomål.docx", "A 27915-2026")</f>
        <v/>
      </c>
      <c r="Z3">
        <f>HYPERLINK("https://klasma.github.io/Logging_0583/klagomålsmail/A 27915-2026 FSC-klagomål mail.docx", "A 27915-2026")</f>
        <v/>
      </c>
      <c r="AA3">
        <f>HYPERLINK("https://klasma.github.io/Logging_0583/tillsyn/A 27915-2026 tillsynsbegäran.docx", "A 27915-2026")</f>
        <v/>
      </c>
      <c r="AB3">
        <f>HYPERLINK("https://klasma.github.io/Logging_0583/tillsynsmail/A 27915-2026 tillsynsbegäran mail.docx", "A 27915-2026")</f>
        <v/>
      </c>
      <c r="AC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46216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HYPERLINK("https://klasma.github.io/Logging_0583/knärot/A 23975-2026 karta knärot.png", "A 23975-2026")</f>
        <v/>
      </c>
      <c r="Y4">
        <f>HYPERLINK("https://klasma.github.io/Logging_0583/klagomål/A 23975-2026 FSC-klagomål.docx", "A 23975-2026")</f>
        <v/>
      </c>
      <c r="Z4">
        <f>HYPERLINK("https://klasma.github.io/Logging_0583/klagomålsmail/A 23975-2026 FSC-klagomål mail.docx", "A 23975-2026")</f>
        <v/>
      </c>
      <c r="AA4">
        <f>HYPERLINK("https://klasma.github.io/Logging_0583/tillsyn/A 23975-2026 tillsynsbegäran.docx", "A 23975-2026")</f>
        <v/>
      </c>
      <c r="AB4">
        <f>HYPERLINK("https://klasma.github.io/Logging_0583/tillsynsmail/A 23975-2026 tillsynsbegäran mail.docx", "A 23975-2026")</f>
        <v/>
      </c>
      <c r="AC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46216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46216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46216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s="2" t="inlineStr">
        <is>
          <t>Raggbock
Dropptaggsvamp
Talltita
Mindre märgborre
Thomsons trägnagare
Vågbandad barkbock
Spillkråka</t>
        </is>
      </c>
      <c r="V7">
        <f>HYPERLINK("https://klasma.github.io/Logging_0583/artfynd/A 40801-2025 artfynd.xlsx", "A 40801-2025")</f>
        <v/>
      </c>
      <c r="W7">
        <f>HYPERLINK("https://klasma.github.io/Logging_0583/kartor/A 40801-2025 karta.png", "A 40801-2025")</f>
        <v/>
      </c>
      <c r="Y7">
        <f>HYPERLINK("https://klasma.github.io/Logging_0583/klagomål/A 40801-2025 FSC-klagomål.docx", "A 40801-2025")</f>
        <v/>
      </c>
      <c r="Z7">
        <f>HYPERLINK("https://klasma.github.io/Logging_0583/klagomålsmail/A 40801-2025 FSC-klagomål mail.docx", "A 40801-2025")</f>
        <v/>
      </c>
      <c r="AA7">
        <f>HYPERLINK("https://klasma.github.io/Logging_0583/tillsyn/A 40801-2025 tillsynsbegäran.docx", "A 40801-2025")</f>
        <v/>
      </c>
      <c r="AB7">
        <f>HYPERLINK("https://klasma.github.io/Logging_0583/tillsynsmail/A 40801-2025 tillsynsbegäran mail.docx", "A 40801-2025")</f>
        <v/>
      </c>
      <c r="AC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46216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s="2" t="inlineStr">
        <is>
          <t>Dropptaggsvamp
Motaggsvamp
Talltita
Bronshjon
Flagellkvastmossa
Grovticka
Spillkråka</t>
        </is>
      </c>
      <c r="V8">
        <f>HYPERLINK("https://klasma.github.io/Logging_0583/artfynd/A 49715-2024 artfynd.xlsx", "A 49715-2024")</f>
        <v/>
      </c>
      <c r="W8">
        <f>HYPERLINK("https://klasma.github.io/Logging_0583/kartor/A 49715-2024 karta.png", "A 49715-2024")</f>
        <v/>
      </c>
      <c r="Y8">
        <f>HYPERLINK("https://klasma.github.io/Logging_0583/klagomål/A 49715-2024 FSC-klagomål.docx", "A 49715-2024")</f>
        <v/>
      </c>
      <c r="Z8">
        <f>HYPERLINK("https://klasma.github.io/Logging_0583/klagomålsmail/A 49715-2024 FSC-klagomål mail.docx", "A 49715-2024")</f>
        <v/>
      </c>
      <c r="AA8">
        <f>HYPERLINK("https://klasma.github.io/Logging_0583/tillsyn/A 49715-2024 tillsynsbegäran.docx", "A 49715-2024")</f>
        <v/>
      </c>
      <c r="AB8">
        <f>HYPERLINK("https://klasma.github.io/Logging_0583/tillsynsmail/A 49715-2024 tillsynsbegäran mail.docx", "A 49715-2024")</f>
        <v/>
      </c>
      <c r="AC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46216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46216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46216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s="2" t="inlineStr">
        <is>
          <t>Skogsgås
Nattskärra
Tjäder
Gröngöling
Grönsiska
Sångsvan</t>
        </is>
      </c>
      <c r="V11">
        <f>HYPERLINK("https://klasma.github.io/Logging_0583/artfynd/A 28395-2022 artfynd.xlsx", "A 28395-2022")</f>
        <v/>
      </c>
      <c r="W11">
        <f>HYPERLINK("https://klasma.github.io/Logging_0583/kartor/A 28395-2022 karta.png", "A 28395-2022")</f>
        <v/>
      </c>
      <c r="Y11">
        <f>HYPERLINK("https://klasma.github.io/Logging_0583/klagomål/A 28395-2022 FSC-klagomål.docx", "A 28395-2022")</f>
        <v/>
      </c>
      <c r="Z11">
        <f>HYPERLINK("https://klasma.github.io/Logging_0583/klagomålsmail/A 28395-2022 FSC-klagomål mail.docx", "A 28395-2022")</f>
        <v/>
      </c>
      <c r="AA11">
        <f>HYPERLINK("https://klasma.github.io/Logging_0583/tillsyn/A 28395-2022 tillsynsbegäran.docx", "A 28395-2022")</f>
        <v/>
      </c>
      <c r="AB11">
        <f>HYPERLINK("https://klasma.github.io/Logging_0583/tillsynsmail/A 28395-2022 tillsynsbegäran mail.docx", "A 28395-2022")</f>
        <v/>
      </c>
      <c r="AC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46216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s="2" t="inlineStr">
        <is>
          <t>Dropptaggsvamp
Gropticka
Tallticka
Bronshjon
Mindre märgborre
Spillkråka</t>
        </is>
      </c>
      <c r="V12">
        <f>HYPERLINK("https://klasma.github.io/Logging_0583/artfynd/A 63217-2025 artfynd.xlsx", "A 63217-2025")</f>
        <v/>
      </c>
      <c r="W12">
        <f>HYPERLINK("https://klasma.github.io/Logging_0583/kartor/A 63217-2025 karta.png", "A 63217-2025")</f>
        <v/>
      </c>
      <c r="Y12">
        <f>HYPERLINK("https://klasma.github.io/Logging_0583/klagomål/A 63217-2025 FSC-klagomål.docx", "A 63217-2025")</f>
        <v/>
      </c>
      <c r="Z12">
        <f>HYPERLINK("https://klasma.github.io/Logging_0583/klagomålsmail/A 63217-2025 FSC-klagomål mail.docx", "A 63217-2025")</f>
        <v/>
      </c>
      <c r="AA12">
        <f>HYPERLINK("https://klasma.github.io/Logging_0583/tillsyn/A 63217-2025 tillsynsbegäran.docx", "A 63217-2025")</f>
        <v/>
      </c>
      <c r="AB12">
        <f>HYPERLINK("https://klasma.github.io/Logging_0583/tillsynsmail/A 63217-2025 tillsynsbegäran mail.docx", "A 63217-2025")</f>
        <v/>
      </c>
      <c r="AC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46216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s="2" t="inlineStr">
        <is>
          <t>Knärot
Gullpudra
Björksplintborre
Thomsons trägnagare
Vågbandad barkbock
Blåsippa</t>
        </is>
      </c>
      <c r="V13">
        <f>HYPERLINK("https://klasma.github.io/Logging_0583/artfynd/A 17738-2026 artfynd.xlsx", "A 17738-2026")</f>
        <v/>
      </c>
      <c r="W13">
        <f>HYPERLINK("https://klasma.github.io/Logging_0583/kartor/A 17738-2026 karta.png", "A 17738-2026")</f>
        <v/>
      </c>
      <c r="X13">
        <f>HYPERLINK("https://klasma.github.io/Logging_0583/knärot/A 17738-2026 karta knärot.png", "A 17738-2026")</f>
        <v/>
      </c>
      <c r="Y13">
        <f>HYPERLINK("https://klasma.github.io/Logging_0583/klagomål/A 17738-2026 FSC-klagomål.docx", "A 17738-2026")</f>
        <v/>
      </c>
      <c r="Z13">
        <f>HYPERLINK("https://klasma.github.io/Logging_0583/klagomålsmail/A 17738-2026 FSC-klagomål mail.docx", "A 17738-2026")</f>
        <v/>
      </c>
      <c r="AA13">
        <f>HYPERLINK("https://klasma.github.io/Logging_0583/tillsyn/A 17738-2026 tillsynsbegäran.docx", "A 17738-2026")</f>
        <v/>
      </c>
      <c r="AB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46216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Thomsons trägnagare
Vågbandad barkbock
Bergsslok
Ekbräken
Hultbräken
Spillkråka</t>
        </is>
      </c>
      <c r="V14">
        <f>HYPERLINK("https://klasma.github.io/Logging_0583/artfynd/A 27273-2026 artfynd.xlsx", "A 27273-2026")</f>
        <v/>
      </c>
      <c r="W14">
        <f>HYPERLINK("https://klasma.github.io/Logging_0583/kartor/A 27273-2026 karta.png", "A 27273-2026")</f>
        <v/>
      </c>
      <c r="Y14">
        <f>HYPERLINK("https://klasma.github.io/Logging_0583/klagomål/A 27273-2026 FSC-klagomål.docx", "A 27273-2026")</f>
        <v/>
      </c>
      <c r="Z14">
        <f>HYPERLINK("https://klasma.github.io/Logging_0583/klagomålsmail/A 27273-2026 FSC-klagomål mail.docx", "A 27273-2026")</f>
        <v/>
      </c>
      <c r="AA14">
        <f>HYPERLINK("https://klasma.github.io/Logging_0583/tillsyn/A 27273-2026 tillsynsbegäran.docx", "A 27273-2026")</f>
        <v/>
      </c>
      <c r="AB14">
        <f>HYPERLINK("https://klasma.github.io/Logging_0583/tillsynsmail/A 27273-2026 tillsynsbegäran mail.docx", "A 27273-2026")</f>
        <v/>
      </c>
      <c r="AC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46216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s="2" t="inlineStr">
        <is>
          <t>Grönfink
Talltita
Björksplintborre
Vågbandad barkbock
Tofsmes
Revlummer</t>
        </is>
      </c>
      <c r="V15">
        <f>HYPERLINK("https://klasma.github.io/Logging_0583/artfynd/A 27925-2026 artfynd.xlsx", "A 27925-2026")</f>
        <v/>
      </c>
      <c r="W15">
        <f>HYPERLINK("https://klasma.github.io/Logging_0583/kartor/A 27925-2026 karta.png", "A 27925-2026")</f>
        <v/>
      </c>
      <c r="Y15">
        <f>HYPERLINK("https://klasma.github.io/Logging_0583/klagomål/A 27925-2026 FSC-klagomål.docx", "A 27925-2026")</f>
        <v/>
      </c>
      <c r="Z15">
        <f>HYPERLINK("https://klasma.github.io/Logging_0583/klagomålsmail/A 27925-2026 FSC-klagomål mail.docx", "A 27925-2026")</f>
        <v/>
      </c>
      <c r="AA15">
        <f>HYPERLINK("https://klasma.github.io/Logging_0583/tillsyn/A 27925-2026 tillsynsbegäran.docx", "A 27925-2026")</f>
        <v/>
      </c>
      <c r="AB15">
        <f>HYPERLINK("https://klasma.github.io/Logging_0583/tillsynsmail/A 27925-2026 tillsynsbegäran mail.docx", "A 27925-2026")</f>
        <v/>
      </c>
      <c r="AC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46216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46216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46216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46216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46216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Grovticka
Tjäder
Nattviol</t>
        </is>
      </c>
      <c r="V20">
        <f>HYPERLINK("https://klasma.github.io/Logging_0583/artfynd/A 1931-2025 artfynd.xlsx", "A 1931-2025")</f>
        <v/>
      </c>
      <c r="W20">
        <f>HYPERLINK("https://klasma.github.io/Logging_0583/kartor/A 1931-2025 karta.png", "A 1931-2025")</f>
        <v/>
      </c>
      <c r="Y20">
        <f>HYPERLINK("https://klasma.github.io/Logging_0583/klagomål/A 1931-2025 FSC-klagomål.docx", "A 1931-2025")</f>
        <v/>
      </c>
      <c r="Z20">
        <f>HYPERLINK("https://klasma.github.io/Logging_0583/klagomålsmail/A 1931-2025 FSC-klagomål mail.docx", "A 1931-2025")</f>
        <v/>
      </c>
      <c r="AA20">
        <f>HYPERLINK("https://klasma.github.io/Logging_0583/tillsyn/A 1931-2025 tillsynsbegäran.docx", "A 1931-2025")</f>
        <v/>
      </c>
      <c r="AB20">
        <f>HYPERLINK("https://klasma.github.io/Logging_0583/tillsynsmail/A 1931-2025 tillsynsbegäran mail.docx", "A 1931-2025")</f>
        <v/>
      </c>
      <c r="AC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46216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Tallticka
Mindre märgborre
Revlummer</t>
        </is>
      </c>
      <c r="V21">
        <f>HYPERLINK("https://klasma.github.io/Logging_0583/artfynd/A 49690-2024 artfynd.xlsx", "A 49690-2024")</f>
        <v/>
      </c>
      <c r="W21">
        <f>HYPERLINK("https://klasma.github.io/Logging_0583/kartor/A 49690-2024 karta.png", "A 49690-2024")</f>
        <v/>
      </c>
      <c r="Y21">
        <f>HYPERLINK("https://klasma.github.io/Logging_0583/klagomål/A 49690-2024 FSC-klagomål.docx", "A 49690-2024")</f>
        <v/>
      </c>
      <c r="Z21">
        <f>HYPERLINK("https://klasma.github.io/Logging_0583/klagomålsmail/A 49690-2024 FSC-klagomål mail.docx", "A 49690-2024")</f>
        <v/>
      </c>
      <c r="AA21">
        <f>HYPERLINK("https://klasma.github.io/Logging_0583/tillsyn/A 49690-2024 tillsynsbegäran.docx", "A 49690-2024")</f>
        <v/>
      </c>
      <c r="AB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46216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Tallticka
Björksplintborre
Spillkråka</t>
        </is>
      </c>
      <c r="V22">
        <f>HYPERLINK("https://klasma.github.io/Logging_0583/artfynd/A 11145-2026 artfynd.xlsx", "A 11145-2026")</f>
        <v/>
      </c>
      <c r="W22">
        <f>HYPERLINK("https://klasma.github.io/Logging_0583/kartor/A 11145-2026 karta.png", "A 11145-2026")</f>
        <v/>
      </c>
      <c r="Y22">
        <f>HYPERLINK("https://klasma.github.io/Logging_0583/klagomål/A 11145-2026 FSC-klagomål.docx", "A 11145-2026")</f>
        <v/>
      </c>
      <c r="Z22">
        <f>HYPERLINK("https://klasma.github.io/Logging_0583/klagomålsmail/A 11145-2026 FSC-klagomål mail.docx", "A 11145-2026")</f>
        <v/>
      </c>
      <c r="AA22">
        <f>HYPERLINK("https://klasma.github.io/Logging_0583/tillsyn/A 11145-2026 tillsynsbegäran.docx", "A 11145-2026")</f>
        <v/>
      </c>
      <c r="AB22">
        <f>HYPERLINK("https://klasma.github.io/Logging_0583/tillsynsmail/A 11145-2026 tillsynsbegäran mail.docx", "A 11145-2026")</f>
        <v/>
      </c>
      <c r="AC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46216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46216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46216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s="2" t="inlineStr">
        <is>
          <t>Ask
Skogsalm</t>
        </is>
      </c>
      <c r="V25">
        <f>HYPERLINK("https://klasma.github.io/Logging_0583/artfynd/A 18894-2023 artfynd.xlsx", "A 18894-2023")</f>
        <v/>
      </c>
      <c r="W25">
        <f>HYPERLINK("https://klasma.github.io/Logging_0583/kartor/A 18894-2023 karta.png", "A 18894-2023")</f>
        <v/>
      </c>
      <c r="Y25">
        <f>HYPERLINK("https://klasma.github.io/Logging_0583/klagomål/A 18894-2023 FSC-klagomål.docx", "A 18894-2023")</f>
        <v/>
      </c>
      <c r="Z25">
        <f>HYPERLINK("https://klasma.github.io/Logging_0583/klagomålsmail/A 18894-2023 FSC-klagomål mail.docx", "A 18894-2023")</f>
        <v/>
      </c>
      <c r="AA25">
        <f>HYPERLINK("https://klasma.github.io/Logging_0583/tillsyn/A 18894-2023 tillsynsbegäran.docx", "A 18894-2023")</f>
        <v/>
      </c>
      <c r="AB25">
        <f>HYPERLINK("https://klasma.github.io/Logging_0583/tillsynsmail/A 18894-2023 tillsynsbegäran mail.docx", "A 18894-2023")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46216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Blomkålssvamp
Mattlummer</t>
        </is>
      </c>
      <c r="V26">
        <f>HYPERLINK("https://klasma.github.io/Logging_0583/artfynd/A 2153-2026 artfynd.xlsx", "A 2153-2026")</f>
        <v/>
      </c>
      <c r="W26">
        <f>HYPERLINK("https://klasma.github.io/Logging_0583/kartor/A 2153-2026 karta.png", "A 2153-2026")</f>
        <v/>
      </c>
      <c r="Y26">
        <f>HYPERLINK("https://klasma.github.io/Logging_0583/klagomål/A 2153-2026 FSC-klagomål.docx", "A 2153-2026")</f>
        <v/>
      </c>
      <c r="Z26">
        <f>HYPERLINK("https://klasma.github.io/Logging_0583/klagomålsmail/A 2153-2026 FSC-klagomål mail.docx", "A 2153-2026")</f>
        <v/>
      </c>
      <c r="AA26">
        <f>HYPERLINK("https://klasma.github.io/Logging_0583/tillsyn/A 2153-2026 tillsynsbegäran.docx", "A 2153-2026")</f>
        <v/>
      </c>
      <c r="AB26">
        <f>HYPERLINK("https://klasma.github.io/Logging_0583/tillsynsmail/A 2153-2026 tillsynsbegäran mail.docx", "A 2153-2026")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46216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Stallört
Kärrknipprot</t>
        </is>
      </c>
      <c r="V27">
        <f>HYPERLINK("https://klasma.github.io/Logging_0583/artfynd/A 53201-2025 artfynd.xlsx", "A 53201-2025")</f>
        <v/>
      </c>
      <c r="W27">
        <f>HYPERLINK("https://klasma.github.io/Logging_0583/kartor/A 53201-2025 karta.png", "A 53201-2025")</f>
        <v/>
      </c>
      <c r="Y27">
        <f>HYPERLINK("https://klasma.github.io/Logging_0583/klagomål/A 53201-2025 FSC-klagomål.docx", "A 53201-2025")</f>
        <v/>
      </c>
      <c r="Z27">
        <f>HYPERLINK("https://klasma.github.io/Logging_0583/klagomålsmail/A 53201-2025 FSC-klagomål mail.docx", "A 53201-2025")</f>
        <v/>
      </c>
      <c r="AA27">
        <f>HYPERLINK("https://klasma.github.io/Logging_0583/tillsyn/A 53201-2025 tillsynsbegäran.docx", "A 53201-2025")</f>
        <v/>
      </c>
      <c r="AB27">
        <f>HYPERLINK("https://klasma.github.io/Logging_0583/tillsynsmail/A 53201-2025 tillsynsbegäran mail.docx", "A 53201-2025")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46216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Vätteros
Nattviol</t>
        </is>
      </c>
      <c r="V28">
        <f>HYPERLINK("https://klasma.github.io/Logging_0583/artfynd/A 48392-2024 artfynd.xlsx", "A 48392-2024")</f>
        <v/>
      </c>
      <c r="W28">
        <f>HYPERLINK("https://klasma.github.io/Logging_0583/kartor/A 48392-2024 karta.png", "A 48392-2024")</f>
        <v/>
      </c>
      <c r="Y28">
        <f>HYPERLINK("https://klasma.github.io/Logging_0583/klagomål/A 48392-2024 FSC-klagomål.docx", "A 48392-2024")</f>
        <v/>
      </c>
      <c r="Z28">
        <f>HYPERLINK("https://klasma.github.io/Logging_0583/klagomålsmail/A 48392-2024 FSC-klagomål mail.docx", "A 48392-2024")</f>
        <v/>
      </c>
      <c r="AA28">
        <f>HYPERLINK("https://klasma.github.io/Logging_0583/tillsyn/A 48392-2024 tillsynsbegäran.docx", "A 48392-2024")</f>
        <v/>
      </c>
      <c r="AB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46216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Bergsslok
Storrams</t>
        </is>
      </c>
      <c r="V29">
        <f>HYPERLINK("https://klasma.github.io/Logging_0583/artfynd/A 20820-2026 artfynd.xlsx", "A 20820-2026")</f>
        <v/>
      </c>
      <c r="W29">
        <f>HYPERLINK("https://klasma.github.io/Logging_0583/kartor/A 20820-2026 karta.png", "A 20820-2026")</f>
        <v/>
      </c>
      <c r="Y29">
        <f>HYPERLINK("https://klasma.github.io/Logging_0583/klagomål/A 20820-2026 FSC-klagomål.docx", "A 20820-2026")</f>
        <v/>
      </c>
      <c r="Z29">
        <f>HYPERLINK("https://klasma.github.io/Logging_0583/klagomålsmail/A 20820-2026 FSC-klagomål mail.docx", "A 20820-2026")</f>
        <v/>
      </c>
      <c r="AA29">
        <f>HYPERLINK("https://klasma.github.io/Logging_0583/tillsyn/A 20820-2026 tillsynsbegäran.docx", "A 20820-2026")</f>
        <v/>
      </c>
      <c r="AB29">
        <f>HYPERLINK("https://klasma.github.io/Logging_0583/tillsynsmail/A 20820-2026 tillsynsbegäran mail.docx", "A 20820-2026")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46216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Tibast
Blåsippa</t>
        </is>
      </c>
      <c r="V30">
        <f>HYPERLINK("https://klasma.github.io/Logging_0583/artfynd/A 27887-2026 artfynd.xlsx", "A 27887-2026")</f>
        <v/>
      </c>
      <c r="W30">
        <f>HYPERLINK("https://klasma.github.io/Logging_0583/kartor/A 27887-2026 karta.png", "A 27887-2026")</f>
        <v/>
      </c>
      <c r="Y30">
        <f>HYPERLINK("https://klasma.github.io/Logging_0583/klagomål/A 27887-2026 FSC-klagomål.docx", "A 27887-2026")</f>
        <v/>
      </c>
      <c r="Z30">
        <f>HYPERLINK("https://klasma.github.io/Logging_0583/klagomålsmail/A 27887-2026 FSC-klagomål mail.docx", "A 27887-2026")</f>
        <v/>
      </c>
      <c r="AA30">
        <f>HYPERLINK("https://klasma.github.io/Logging_0583/tillsyn/A 27887-2026 tillsynsbegäran.docx", "A 27887-2026")</f>
        <v/>
      </c>
      <c r="AB30">
        <f>HYPERLINK("https://klasma.github.io/Logging_0583/tillsynsmail/A 27887-2026 tillsynsbegäran mail.docx", "A 27887-2026")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46216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Blomkålssvamp
Revlummer</t>
        </is>
      </c>
      <c r="V31">
        <f>HYPERLINK("https://klasma.github.io/Logging_0583/artfynd/A 44938-2025 artfynd.xlsx", "A 44938-2025")</f>
        <v/>
      </c>
      <c r="W31">
        <f>HYPERLINK("https://klasma.github.io/Logging_0583/kartor/A 44938-2025 karta.png", "A 44938-2025")</f>
        <v/>
      </c>
      <c r="Y31">
        <f>HYPERLINK("https://klasma.github.io/Logging_0583/klagomål/A 44938-2025 FSC-klagomål.docx", "A 44938-2025")</f>
        <v/>
      </c>
      <c r="Z31">
        <f>HYPERLINK("https://klasma.github.io/Logging_0583/klagomålsmail/A 44938-2025 FSC-klagomål mail.docx", "A 44938-2025")</f>
        <v/>
      </c>
      <c r="AA31">
        <f>HYPERLINK("https://klasma.github.io/Logging_0583/tillsyn/A 44938-2025 tillsynsbegäran.docx", "A 44938-2025")</f>
        <v/>
      </c>
      <c r="AB31">
        <f>HYPERLINK("https://klasma.github.io/Logging_0583/tillsynsmail/A 44938-2025 tillsynsbegäran mail.docx", "A 44938-2025")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46216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46216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46216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46216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46216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21991-2023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46216</v>
      </c>
      <c r="F37" t="inlineStr">
        <is>
          <t>ÖSTERGÖTLANDS LÄN</t>
        </is>
      </c>
      <c r="G37" t="inlineStr">
        <is>
          <t>MOTALA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Vedtrappmossa</t>
        </is>
      </c>
      <c r="V37">
        <f>HYPERLINK("https://klasma.github.io/Logging_0583/artfynd/A 21991-2023 artfynd.xlsx", "A 21991-2023")</f>
        <v/>
      </c>
      <c r="W37">
        <f>HYPERLINK("https://klasma.github.io/Logging_0583/kartor/A 21991-2023 karta.png", "A 21991-2023")</f>
        <v/>
      </c>
      <c r="Y37">
        <f>HYPERLINK("https://klasma.github.io/Logging_0583/klagomål/A 21991-2023 FSC-klagomål.docx", "A 21991-2023")</f>
        <v/>
      </c>
      <c r="Z37">
        <f>HYPERLINK("https://klasma.github.io/Logging_0583/klagomålsmail/A 21991-2023 FSC-klagomål mail.docx", "A 21991-2023")</f>
        <v/>
      </c>
      <c r="AA37">
        <f>HYPERLINK("https://klasma.github.io/Logging_0583/tillsyn/A 21991-2023 tillsynsbegäran.docx", "A 21991-2023")</f>
        <v/>
      </c>
      <c r="AB37">
        <f>HYPERLINK("https://klasma.github.io/Logging_0583/tillsynsmail/A 21991-2023 tillsynsbegäran mail.docx", "A 21991-2023")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46216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Skogsalm</t>
        </is>
      </c>
      <c r="V38">
        <f>HYPERLINK("https://klasma.github.io/Logging_0583/artfynd/A 47332-2025 artfynd.xlsx", "A 47332-2025")</f>
        <v/>
      </c>
      <c r="W38">
        <f>HYPERLINK("https://klasma.github.io/Logging_0583/kartor/A 47332-2025 karta.png", "A 47332-2025")</f>
        <v/>
      </c>
      <c r="Y38">
        <f>HYPERLINK("https://klasma.github.io/Logging_0583/klagomål/A 47332-2025 FSC-klagomål.docx", "A 47332-2025")</f>
        <v/>
      </c>
      <c r="Z38">
        <f>HYPERLINK("https://klasma.github.io/Logging_0583/klagomålsmail/A 47332-2025 FSC-klagomål mail.docx", "A 47332-2025")</f>
        <v/>
      </c>
      <c r="AA38">
        <f>HYPERLINK("https://klasma.github.io/Logging_0583/tillsyn/A 47332-2025 tillsynsbegäran.docx", "A 47332-2025")</f>
        <v/>
      </c>
      <c r="AB38">
        <f>HYPERLINK("https://klasma.github.io/Logging_0583/tillsynsmail/A 47332-2025 tillsynsbegäran mail.docx", "A 47332-2025")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46216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Spillkråka</t>
        </is>
      </c>
      <c r="V39">
        <f>HYPERLINK("https://klasma.github.io/Logging_0583/artfynd/A 17739-2026 artfynd.xlsx", "A 17739-2026")</f>
        <v/>
      </c>
      <c r="W39">
        <f>HYPERLINK("https://klasma.github.io/Logging_0583/kartor/A 17739-2026 karta.png", "A 17739-2026")</f>
        <v/>
      </c>
      <c r="Y39">
        <f>HYPERLINK("https://klasma.github.io/Logging_0583/klagomål/A 17739-2026 FSC-klagomål.docx", "A 17739-2026")</f>
        <v/>
      </c>
      <c r="Z39">
        <f>HYPERLINK("https://klasma.github.io/Logging_0583/klagomålsmail/A 17739-2026 FSC-klagomål mail.docx", "A 17739-2026")</f>
        <v/>
      </c>
      <c r="AA39">
        <f>HYPERLINK("https://klasma.github.io/Logging_0583/tillsyn/A 17739-2026 tillsynsbegäran.docx", "A 17739-2026")</f>
        <v/>
      </c>
      <c r="AB39">
        <f>HYPERLINK("https://klasma.github.io/Logging_0583/tillsynsmail/A 17739-2026 tillsynsbegäran mail.docx", "A 17739-2026")</f>
        <v/>
      </c>
      <c r="AC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46216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HYPERLINK("https://klasma.github.io/Logging_0583/artfynd/A 17740-2026 artfynd.xlsx", "A 17740-2026")</f>
        <v/>
      </c>
      <c r="W40">
        <f>HYPERLINK("https://klasma.github.io/Logging_0583/kartor/A 17740-2026 karta.png", "A 17740-2026")</f>
        <v/>
      </c>
      <c r="Y40">
        <f>HYPERLINK("https://klasma.github.io/Logging_0583/klagomål/A 17740-2026 FSC-klagomål.docx", "A 17740-2026")</f>
        <v/>
      </c>
      <c r="Z40">
        <f>HYPERLINK("https://klasma.github.io/Logging_0583/klagomålsmail/A 17740-2026 FSC-klagomål mail.docx", "A 17740-2026")</f>
        <v/>
      </c>
      <c r="AA40">
        <f>HYPERLINK("https://klasma.github.io/Logging_0583/tillsyn/A 17740-2026 tillsynsbegäran.docx", "A 17740-2026")</f>
        <v/>
      </c>
      <c r="AB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46216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Fiskgjuse</t>
        </is>
      </c>
      <c r="V41">
        <f>HYPERLINK("https://klasma.github.io/Logging_0583/artfynd/A 2194-2023 artfynd.xlsx", "A 2194-2023")</f>
        <v/>
      </c>
      <c r="W41">
        <f>HYPERLINK("https://klasma.github.io/Logging_0583/kartor/A 2194-2023 karta.png", "A 2194-2023")</f>
        <v/>
      </c>
      <c r="Y41">
        <f>HYPERLINK("https://klasma.github.io/Logging_0583/klagomål/A 2194-2023 FSC-klagomål.docx", "A 2194-2023")</f>
        <v/>
      </c>
      <c r="Z41">
        <f>HYPERLINK("https://klasma.github.io/Logging_0583/klagomålsmail/A 2194-2023 FSC-klagomål mail.docx", "A 2194-2023")</f>
        <v/>
      </c>
      <c r="AA41">
        <f>HYPERLINK("https://klasma.github.io/Logging_0583/tillsyn/A 2194-2023 tillsynsbegäran.docx", "A 2194-2023")</f>
        <v/>
      </c>
      <c r="AB41">
        <f>HYPERLINK("https://klasma.github.io/Logging_0583/tillsynsmail/A 2194-2023 tillsynsbegäran mail.docx", "A 2194-2023")</f>
        <v/>
      </c>
      <c r="AC41">
        <f>HYPERLINK("https://klasma.github.io/Logging_0583/fåglar/A 2194-2023 prioriterade fågelarter.docx", "A 2194-2023")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46216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HYPERLINK("https://klasma.github.io/Logging_0583/artfynd/A 44814-2025 artfynd.xlsx", "A 44814-2025")</f>
        <v/>
      </c>
      <c r="W42">
        <f>HYPERLINK("https://klasma.github.io/Logging_0583/kartor/A 44814-2025 karta.png", "A 44814-2025")</f>
        <v/>
      </c>
      <c r="Y42">
        <f>HYPERLINK("https://klasma.github.io/Logging_0583/klagomål/A 44814-2025 FSC-klagomål.docx", "A 44814-2025")</f>
        <v/>
      </c>
      <c r="Z42">
        <f>HYPERLINK("https://klasma.github.io/Logging_0583/klagomålsmail/A 44814-2025 FSC-klagomål mail.docx", "A 44814-2025")</f>
        <v/>
      </c>
      <c r="AA42">
        <f>HYPERLINK("https://klasma.github.io/Logging_0583/tillsyn/A 44814-2025 tillsynsbegäran.docx", "A 44814-2025")</f>
        <v/>
      </c>
      <c r="AB42">
        <f>HYPERLINK("https://klasma.github.io/Logging_0583/tillsynsmail/A 44814-2025 tillsynsbegäran mail.docx", "A 44814-2025")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46216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HYPERLINK("https://klasma.github.io/Logging_0583/artfynd/A 24554-2025 artfynd.xlsx", "A 24554-2025")</f>
        <v/>
      </c>
      <c r="W43">
        <f>HYPERLINK("https://klasma.github.io/Logging_0583/kartor/A 24554-2025 karta.png", "A 24554-2025")</f>
        <v/>
      </c>
      <c r="Y43">
        <f>HYPERLINK("https://klasma.github.io/Logging_0583/klagomål/A 24554-2025 FSC-klagomål.docx", "A 24554-2025")</f>
        <v/>
      </c>
      <c r="Z43">
        <f>HYPERLINK("https://klasma.github.io/Logging_0583/klagomålsmail/A 24554-2025 FSC-klagomål mail.docx", "A 24554-2025")</f>
        <v/>
      </c>
      <c r="AA43">
        <f>HYPERLINK("https://klasma.github.io/Logging_0583/tillsyn/A 24554-2025 tillsynsbegäran.docx", "A 24554-2025")</f>
        <v/>
      </c>
      <c r="AB43">
        <f>HYPERLINK("https://klasma.github.io/Logging_0583/tillsynsmail/A 24554-2025 tillsynsbegäran mail.docx", "A 24554-2025")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46216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Blåsippa</t>
        </is>
      </c>
      <c r="V44">
        <f>HYPERLINK("https://klasma.github.io/Logging_0583/artfynd/A 18729-2025 artfynd.xlsx", "A 18729-2025")</f>
        <v/>
      </c>
      <c r="W44">
        <f>HYPERLINK("https://klasma.github.io/Logging_0583/kartor/A 18729-2025 karta.png", "A 18729-2025")</f>
        <v/>
      </c>
      <c r="Y44">
        <f>HYPERLINK("https://klasma.github.io/Logging_0583/klagomål/A 18729-2025 FSC-klagomål.docx", "A 18729-2025")</f>
        <v/>
      </c>
      <c r="Z44">
        <f>HYPERLINK("https://klasma.github.io/Logging_0583/klagomålsmail/A 18729-2025 FSC-klagomål mail.docx", "A 18729-2025")</f>
        <v/>
      </c>
      <c r="AA44">
        <f>HYPERLINK("https://klasma.github.io/Logging_0583/tillsyn/A 18729-2025 tillsynsbegäran.docx", "A 18729-2025")</f>
        <v/>
      </c>
      <c r="AB44">
        <f>HYPERLINK("https://klasma.github.io/Logging_0583/tillsynsmail/A 18729-2025 tillsynsbegäran mail.docx", "A 18729-2025")</f>
        <v/>
      </c>
    </row>
    <row r="45" ht="15" customHeight="1">
      <c r="A45" t="inlineStr">
        <is>
          <t>A 52523-2022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46216</v>
      </c>
      <c r="F45" t="inlineStr">
        <is>
          <t>ÖSTERGÖTLANDS LÄN</t>
        </is>
      </c>
      <c r="G45" t="inlineStr">
        <is>
          <t>MOTALA</t>
        </is>
      </c>
      <c r="H45" t="inlineStr">
        <is>
          <t>Kyrkan</t>
        </is>
      </c>
      <c r="I45" t="n">
        <v>6.7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s="2" t="inlineStr">
        <is>
          <t>Fläcknycklar</t>
        </is>
      </c>
      <c r="V45">
        <f>HYPERLINK("https://klasma.github.io/Logging_0583/artfynd/A 52523-2022 artfynd.xlsx", "A 52523-2022")</f>
        <v/>
      </c>
      <c r="W45">
        <f>HYPERLINK("https://klasma.github.io/Logging_0583/kartor/A 52523-2022 karta.png", "A 52523-2022")</f>
        <v/>
      </c>
      <c r="Y45">
        <f>HYPERLINK("https://klasma.github.io/Logging_0583/klagomål/A 52523-2022 FSC-klagomål.docx", "A 52523-2022")</f>
        <v/>
      </c>
      <c r="Z45">
        <f>HYPERLINK("https://klasma.github.io/Logging_0583/klagomålsmail/A 52523-2022 FSC-klagomål mail.docx", "A 52523-2022")</f>
        <v/>
      </c>
      <c r="AA45">
        <f>HYPERLINK("https://klasma.github.io/Logging_0583/tillsyn/A 52523-2022 tillsynsbegäran.docx", "A 52523-2022")</f>
        <v/>
      </c>
      <c r="AB45">
        <f>HYPERLINK("https://klasma.github.io/Logging_0583/tillsynsmail/A 52523-2022 tillsynsbegäran mail.docx", "A 52523-2022")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46216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HYPERLINK("https://klasma.github.io/Logging_0583/artfynd/A 27907-2026 artfynd.xlsx", "A 27907-2026")</f>
        <v/>
      </c>
      <c r="W46">
        <f>HYPERLINK("https://klasma.github.io/Logging_0583/kartor/A 27907-2026 karta.png", "A 27907-2026")</f>
        <v/>
      </c>
      <c r="Y46">
        <f>HYPERLINK("https://klasma.github.io/Logging_0583/klagomål/A 27907-2026 FSC-klagomål.docx", "A 27907-2026")</f>
        <v/>
      </c>
      <c r="Z46">
        <f>HYPERLINK("https://klasma.github.io/Logging_0583/klagomålsmail/A 27907-2026 FSC-klagomål mail.docx", "A 27907-2026")</f>
        <v/>
      </c>
      <c r="AA46">
        <f>HYPERLINK("https://klasma.github.io/Logging_0583/tillsyn/A 27907-2026 tillsynsbegäran.docx", "A 27907-2026")</f>
        <v/>
      </c>
      <c r="AB46">
        <f>HYPERLINK("https://klasma.github.io/Logging_0583/tillsynsmail/A 27907-2026 tillsynsbegäran mail.docx", "A 27907-2026")</f>
        <v/>
      </c>
      <c r="AC46">
        <f>HYPERLINK("https://klasma.github.io/Logging_0583/fåglar/A 27907-2026 prioriterade fågelarter.docx", "A 27907-2026")</f>
        <v/>
      </c>
    </row>
    <row r="47" ht="15" customHeight="1">
      <c r="A47" t="inlineStr">
        <is>
          <t>A 30955-2023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46216</v>
      </c>
      <c r="F47" t="inlineStr">
        <is>
          <t>ÖSTERGÖTLANDS LÄN</t>
        </is>
      </c>
      <c r="G47" t="inlineStr">
        <is>
          <t>MOTALA</t>
        </is>
      </c>
      <c r="H47" t="inlineStr">
        <is>
          <t>Övriga statliga verk och myndigheter</t>
        </is>
      </c>
      <c r="I47" t="n">
        <v>7.5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Tjäder</t>
        </is>
      </c>
      <c r="V47">
        <f>HYPERLINK("https://klasma.github.io/Logging_0583/artfynd/A 30955-2023 artfynd.xlsx", "A 30955-2023")</f>
        <v/>
      </c>
      <c r="W47">
        <f>HYPERLINK("https://klasma.github.io/Logging_0583/kartor/A 30955-2023 karta.png", "A 30955-2023")</f>
        <v/>
      </c>
      <c r="Y47">
        <f>HYPERLINK("https://klasma.github.io/Logging_0583/klagomål/A 30955-2023 FSC-klagomål.docx", "A 30955-2023")</f>
        <v/>
      </c>
      <c r="Z47">
        <f>HYPERLINK("https://klasma.github.io/Logging_0583/klagomålsmail/A 30955-2023 FSC-klagomål mail.docx", "A 30955-2023")</f>
        <v/>
      </c>
      <c r="AA47">
        <f>HYPERLINK("https://klasma.github.io/Logging_0583/tillsyn/A 30955-2023 tillsynsbegäran.docx", "A 30955-2023")</f>
        <v/>
      </c>
      <c r="AB47">
        <f>HYPERLINK("https://klasma.github.io/Logging_0583/tillsynsmail/A 30955-2023 tillsynsbegäran mail.docx", "A 30955-2023")</f>
        <v/>
      </c>
      <c r="AC47">
        <f>HYPERLINK("https://klasma.github.io/Logging_0583/fåglar/A 30955-2023 prioriterade fågelarter.docx", "A 30955-2023")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46216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Y48">
        <f>HYPERLINK("https://klasma.github.io/Logging_0583/klagomål/A 12609-2025 FSC-klagomål.docx", "A 12609-2025")</f>
        <v/>
      </c>
      <c r="Z48">
        <f>HYPERLINK("https://klasma.github.io/Logging_0583/klagomålsmail/A 12609-2025 FSC-klagomål mail.docx", "A 12609-2025")</f>
        <v/>
      </c>
      <c r="AA48">
        <f>HYPERLINK("https://klasma.github.io/Logging_0583/tillsyn/A 12609-2025 tillsynsbegäran.docx", "A 12609-2025")</f>
        <v/>
      </c>
      <c r="AB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46216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Blåsippa</t>
        </is>
      </c>
      <c r="V49">
        <f>HYPERLINK("https://klasma.github.io/Logging_0583/artfynd/A 50749-2024 artfynd.xlsx", "A 50749-2024")</f>
        <v/>
      </c>
      <c r="W49">
        <f>HYPERLINK("https://klasma.github.io/Logging_0583/kartor/A 50749-2024 karta.png", "A 50749-2024")</f>
        <v/>
      </c>
      <c r="Y49">
        <f>HYPERLINK("https://klasma.github.io/Logging_0583/klagomål/A 50749-2024 FSC-klagomål.docx", "A 50749-2024")</f>
        <v/>
      </c>
      <c r="Z49">
        <f>HYPERLINK("https://klasma.github.io/Logging_0583/klagomålsmail/A 50749-2024 FSC-klagomål mail.docx", "A 50749-2024")</f>
        <v/>
      </c>
      <c r="AA49">
        <f>HYPERLINK("https://klasma.github.io/Logging_0583/tillsyn/A 50749-2024 tillsynsbegäran.docx", "A 50749-2024")</f>
        <v/>
      </c>
      <c r="AB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46216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Skogsklocka</t>
        </is>
      </c>
      <c r="V50">
        <f>HYPERLINK("https://klasma.github.io/Logging_0583/artfynd/A 24686-2024 artfynd.xlsx", "A 24686-2024")</f>
        <v/>
      </c>
      <c r="W50">
        <f>HYPERLINK("https://klasma.github.io/Logging_0583/kartor/A 24686-2024 karta.png", "A 24686-2024")</f>
        <v/>
      </c>
      <c r="Y50">
        <f>HYPERLINK("https://klasma.github.io/Logging_0583/klagomål/A 24686-2024 FSC-klagomål.docx", "A 24686-2024")</f>
        <v/>
      </c>
      <c r="Z50">
        <f>HYPERLINK("https://klasma.github.io/Logging_0583/klagomålsmail/A 24686-2024 FSC-klagomål mail.docx", "A 24686-2024")</f>
        <v/>
      </c>
      <c r="AA50">
        <f>HYPERLINK("https://klasma.github.io/Logging_0583/tillsyn/A 24686-2024 tillsynsbegäran.docx", "A 24686-2024")</f>
        <v/>
      </c>
      <c r="AB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46216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Y51">
        <f>HYPERLINK("https://klasma.github.io/Logging_0583/klagomål/A 13690-2024 FSC-klagomål.docx", "A 13690-2024")</f>
        <v/>
      </c>
      <c r="Z51">
        <f>HYPERLINK("https://klasma.github.io/Logging_0583/klagomålsmail/A 13690-2024 FSC-klagomål mail.docx", "A 13690-2024")</f>
        <v/>
      </c>
      <c r="AA51">
        <f>HYPERLINK("https://klasma.github.io/Logging_0583/tillsyn/A 13690-2024 tillsynsbegäran.docx", "A 13690-2024")</f>
        <v/>
      </c>
      <c r="AB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46216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s="2" t="inlineStr">
        <is>
          <t>Knärot</t>
        </is>
      </c>
      <c r="V52">
        <f>HYPERLINK("https://klasma.github.io/Logging_0583/artfynd/S 273-2025 artfynd.xlsx", "S 273-2025")</f>
        <v/>
      </c>
      <c r="W52">
        <f>HYPERLINK("https://klasma.github.io/Logging_0583/kartor/S 273-2025 karta.png", "S 273-2025")</f>
        <v/>
      </c>
      <c r="X52">
        <f>HYPERLINK("https://klasma.github.io/Logging_0583/knärot/S 273-2025 karta knärot.png", "S 273-2025")</f>
        <v/>
      </c>
      <c r="Y52">
        <f>HYPERLINK("https://klasma.github.io/Logging_0583/klagomål/S 273-2025 FSC-klagomål.docx", "S 273-2025")</f>
        <v/>
      </c>
      <c r="Z52">
        <f>HYPERLINK("https://klasma.github.io/Logging_0583/klagomålsmail/S 273-2025 FSC-klagomål mail.docx", "S 273-2025")</f>
        <v/>
      </c>
      <c r="AA52">
        <f>HYPERLINK("https://klasma.github.io/Logging_0583/tillsyn/S 273-2025 tillsynsbegäran.docx", "S 273-2025")</f>
        <v/>
      </c>
      <c r="AB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46216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HYPERLINK("https://klasma.github.io/Logging_0583/artfynd/S 2682-2022 artfynd.xlsx", "S 2682-2022")</f>
        <v/>
      </c>
      <c r="W53">
        <f>HYPERLINK("https://klasma.github.io/Logging_0583/kartor/S 2682-2022 karta.png", "S 2682-2022")</f>
        <v/>
      </c>
      <c r="Y53">
        <f>HYPERLINK("https://klasma.github.io/Logging_0583/klagomål/S 2682-2022 FSC-klagomål.docx", "S 2682-2022")</f>
        <v/>
      </c>
      <c r="Z53">
        <f>HYPERLINK("https://klasma.github.io/Logging_0583/klagomålsmail/S 2682-2022 FSC-klagomål mail.docx", "S 2682-2022")</f>
        <v/>
      </c>
      <c r="AA53">
        <f>HYPERLINK("https://klasma.github.io/Logging_0583/tillsyn/S 2682-2022 tillsynsbegäran.docx", "S 2682-2022")</f>
        <v/>
      </c>
      <c r="AB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46216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46216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46216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46216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46216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46216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57981-2021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46216</v>
      </c>
      <c r="F60" t="inlineStr">
        <is>
          <t>ÖSTERGÖTLANDS LÄN</t>
        </is>
      </c>
      <c r="G60" t="inlineStr">
        <is>
          <t>MOTALA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46216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46216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46216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46216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46216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46216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46216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46216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46216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46216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46216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46216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46216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62548-2021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46216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39494-2021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46216</v>
      </c>
      <c r="F75" t="inlineStr">
        <is>
          <t>ÖSTERGÖTLANDS LÄN</t>
        </is>
      </c>
      <c r="G75" t="inlineStr">
        <is>
          <t>MOTALA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41787-2021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44425</v>
      </c>
      <c r="E76" s="1" t="n">
        <v>46216</v>
      </c>
      <c r="F76" t="inlineStr">
        <is>
          <t>ÖSTERGÖTLANDS LÄN</t>
        </is>
      </c>
      <c r="G76" t="inlineStr">
        <is>
          <t>MOTALA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46216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46216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17071-2022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46216</v>
      </c>
      <c r="F79" t="inlineStr">
        <is>
          <t>ÖSTERGÖTLANDS LÄN</t>
        </is>
      </c>
      <c r="G79" t="inlineStr">
        <is>
          <t>MOTALA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40538-2022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44819</v>
      </c>
      <c r="E80" s="1" t="n">
        <v>46216</v>
      </c>
      <c r="F80" t="inlineStr">
        <is>
          <t>ÖSTERGÖTLANDS LÄN</t>
        </is>
      </c>
      <c r="G80" t="inlineStr">
        <is>
          <t>MOTALA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44837</v>
      </c>
      <c r="E81" s="1" t="n">
        <v>46216</v>
      </c>
      <c r="F81" t="inlineStr">
        <is>
          <t>ÖSTERGÖTLANDS LÄN</t>
        </is>
      </c>
      <c r="G81" t="inlineStr">
        <is>
          <t>MOTALA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46216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46216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46216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46216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46216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46216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46216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6793-2022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46216</v>
      </c>
      <c r="F89" t="inlineStr">
        <is>
          <t>ÖSTERGÖTLANDS LÄN</t>
        </is>
      </c>
      <c r="G89" t="inlineStr">
        <is>
          <t>MOTALA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10678-2022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46216</v>
      </c>
      <c r="F90" t="inlineStr">
        <is>
          <t>ÖSTERGÖTLANDS LÄN</t>
        </is>
      </c>
      <c r="G90" t="inlineStr">
        <is>
          <t>MOTALA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46216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46216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9708-2022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44617</v>
      </c>
      <c r="E93" s="1" t="n">
        <v>46216</v>
      </c>
      <c r="F93" t="inlineStr">
        <is>
          <t>ÖSTERGÖTLANDS LÄN</t>
        </is>
      </c>
      <c r="G93" t="inlineStr">
        <is>
          <t>MOTALA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13420-2022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46216</v>
      </c>
      <c r="F94" t="inlineStr">
        <is>
          <t>ÖSTERGÖTLANDS LÄN</t>
        </is>
      </c>
      <c r="G94" t="inlineStr">
        <is>
          <t>MOTALA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44565</v>
      </c>
      <c r="E95" s="1" t="n">
        <v>46216</v>
      </c>
      <c r="F95" t="inlineStr">
        <is>
          <t>ÖSTERGÖTLANDS LÄN</t>
        </is>
      </c>
      <c r="G95" t="inlineStr">
        <is>
          <t>MOTALA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46216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46216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46216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46216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46216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46216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46216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46216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46216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46216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46216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46216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46216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46216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46216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46216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46216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46216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46216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46216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46216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46216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46216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46216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46216</v>
      </c>
      <c r="F120" t="inlineStr">
        <is>
          <t>ÖSTERGÖTLANDS LÄN</t>
        </is>
      </c>
      <c r="G120" t="inlineStr">
        <is>
          <t>MOTALA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66199-2021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46216</v>
      </c>
      <c r="F121" t="inlineStr">
        <is>
          <t>ÖSTERGÖTLANDS LÄN</t>
        </is>
      </c>
      <c r="G121" t="inlineStr">
        <is>
          <t>MOTALA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46216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46216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46216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46216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46216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46216</v>
      </c>
      <c r="F127" t="inlineStr">
        <is>
          <t>ÖSTERGÖTLANDS LÄN</t>
        </is>
      </c>
      <c r="G127" t="inlineStr">
        <is>
          <t>MOTALA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46216</v>
      </c>
      <c r="F128" t="inlineStr">
        <is>
          <t>ÖSTERGÖTLANDS LÄN</t>
        </is>
      </c>
      <c r="G128" t="inlineStr">
        <is>
          <t>MOTALA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46216</v>
      </c>
      <c r="F129" t="inlineStr">
        <is>
          <t>ÖSTERGÖTLANDS LÄN</t>
        </is>
      </c>
      <c r="G129" t="inlineStr">
        <is>
          <t>MOTALA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13381-2024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46216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46216</v>
      </c>
      <c r="F131" t="inlineStr">
        <is>
          <t>ÖSTERGÖTLANDS LÄN</t>
        </is>
      </c>
      <c r="G131" t="inlineStr">
        <is>
          <t>MOTALA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53491-2022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46216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46216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24090-2023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45079</v>
      </c>
      <c r="E134" s="1" t="n">
        <v>46216</v>
      </c>
      <c r="F134" t="inlineStr">
        <is>
          <t>ÖSTERGÖTLANDS LÄN</t>
        </is>
      </c>
      <c r="G134" t="inlineStr">
        <is>
          <t>MOTALA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45454</v>
      </c>
      <c r="E135" s="1" t="n">
        <v>46216</v>
      </c>
      <c r="F135" t="inlineStr">
        <is>
          <t>ÖSTERGÖTLANDS LÄN</t>
        </is>
      </c>
      <c r="G135" t="inlineStr">
        <is>
          <t>MOTALA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12916-2023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46216</v>
      </c>
      <c r="F136" t="inlineStr">
        <is>
          <t>ÖSTERGÖTLANDS LÄN</t>
        </is>
      </c>
      <c r="G136" t="inlineStr">
        <is>
          <t>MOTALA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46216</v>
      </c>
      <c r="F137" t="inlineStr">
        <is>
          <t>ÖSTERGÖTLANDS LÄN</t>
        </is>
      </c>
      <c r="G137" t="inlineStr">
        <is>
          <t>MOTALA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45183</v>
      </c>
      <c r="E138" s="1" t="n">
        <v>46216</v>
      </c>
      <c r="F138" t="inlineStr">
        <is>
          <t>ÖSTERGÖTLANDS LÄN</t>
        </is>
      </c>
      <c r="G138" t="inlineStr">
        <is>
          <t>MOTALA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7295-2022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46216</v>
      </c>
      <c r="F139" t="inlineStr">
        <is>
          <t>ÖSTERGÖTLANDS LÄN</t>
        </is>
      </c>
      <c r="G139" t="inlineStr">
        <is>
          <t>MOTALA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45114</v>
      </c>
      <c r="E140" s="1" t="n">
        <v>46216</v>
      </c>
      <c r="F140" t="inlineStr">
        <is>
          <t>ÖSTERGÖTLANDS LÄN</t>
        </is>
      </c>
      <c r="G140" t="inlineStr">
        <is>
          <t>MOTALA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7058-2024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46216</v>
      </c>
      <c r="F141" t="inlineStr">
        <is>
          <t>ÖSTERGÖTLANDS LÄN</t>
        </is>
      </c>
      <c r="G141" t="inlineStr">
        <is>
          <t>MOTALA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46216</v>
      </c>
      <c r="F142" t="inlineStr">
        <is>
          <t>ÖSTERGÖTLANDS LÄN</t>
        </is>
      </c>
      <c r="G142" t="inlineStr">
        <is>
          <t>MOTALA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45302</v>
      </c>
      <c r="E143" s="1" t="n">
        <v>46216</v>
      </c>
      <c r="F143" t="inlineStr">
        <is>
          <t>ÖSTERGÖTLANDS LÄN</t>
        </is>
      </c>
      <c r="G143" t="inlineStr">
        <is>
          <t>MOTALA</t>
        </is>
      </c>
      <c r="H143" t="inlineStr">
        <is>
          <t>Övriga statliga verk och myndigheter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11168-2023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46216</v>
      </c>
      <c r="F144" t="inlineStr">
        <is>
          <t>ÖSTERGÖTLANDS LÄN</t>
        </is>
      </c>
      <c r="G144" t="inlineStr">
        <is>
          <t>MOTALA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25977-2022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44734</v>
      </c>
      <c r="E145" s="1" t="n">
        <v>46216</v>
      </c>
      <c r="F145" t="inlineStr">
        <is>
          <t>ÖSTERGÖTLANDS LÄN</t>
        </is>
      </c>
      <c r="G145" t="inlineStr">
        <is>
          <t>MOTALA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28681-2022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46216</v>
      </c>
      <c r="F146" t="inlineStr">
        <is>
          <t>ÖSTERGÖTLANDS LÄN</t>
        </is>
      </c>
      <c r="G146" t="inlineStr">
        <is>
          <t>MOTALA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46216</v>
      </c>
      <c r="F147" t="inlineStr">
        <is>
          <t>ÖSTERGÖTLANDS LÄN</t>
        </is>
      </c>
      <c r="G147" t="inlineStr">
        <is>
          <t>MOTALA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46216</v>
      </c>
      <c r="F148" t="inlineStr">
        <is>
          <t>ÖSTERGÖTLANDS LÄN</t>
        </is>
      </c>
      <c r="G148" t="inlineStr">
        <is>
          <t>MOTALA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46216</v>
      </c>
      <c r="F149" t="inlineStr">
        <is>
          <t>ÖSTERGÖTLANDS LÄN</t>
        </is>
      </c>
      <c r="G149" t="inlineStr">
        <is>
          <t>MOTALA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41093-2023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46216</v>
      </c>
      <c r="F150" t="inlineStr">
        <is>
          <t>ÖSTERGÖTLANDS LÄN</t>
        </is>
      </c>
      <c r="G150" t="inlineStr">
        <is>
          <t>MOTALA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46216</v>
      </c>
      <c r="F151" t="inlineStr">
        <is>
          <t>ÖSTERGÖTLANDS LÄN</t>
        </is>
      </c>
      <c r="G151" t="inlineStr">
        <is>
          <t>MOTALA</t>
        </is>
      </c>
      <c r="H151" t="inlineStr">
        <is>
          <t>Kommuner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49867-2024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45597</v>
      </c>
      <c r="E152" s="1" t="n">
        <v>46216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25600-2025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46216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60682-2024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46216</v>
      </c>
      <c r="F154" t="inlineStr">
        <is>
          <t>ÖSTERGÖTLANDS LÄN</t>
        </is>
      </c>
      <c r="G154" t="inlineStr">
        <is>
          <t>MOTALA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46216</v>
      </c>
      <c r="F155" t="inlineStr">
        <is>
          <t>ÖSTERGÖTLANDS LÄN</t>
        </is>
      </c>
      <c r="G155" t="inlineStr">
        <is>
          <t>MOTALA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46216</v>
      </c>
      <c r="F156" t="inlineStr">
        <is>
          <t>ÖSTERGÖTLANDS LÄN</t>
        </is>
      </c>
      <c r="G156" t="inlineStr">
        <is>
          <t>MOTALA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21201-2024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46216</v>
      </c>
      <c r="F157" t="inlineStr">
        <is>
          <t>ÖSTERGÖTLANDS LÄN</t>
        </is>
      </c>
      <c r="G157" t="inlineStr">
        <is>
          <t>MOTALA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39229-2025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46216</v>
      </c>
      <c r="F158" t="inlineStr">
        <is>
          <t>ÖSTERGÖTLANDS LÄN</t>
        </is>
      </c>
      <c r="G158" t="inlineStr">
        <is>
          <t>MOTALA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30377-2023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46216</v>
      </c>
      <c r="F159" t="inlineStr">
        <is>
          <t>ÖSTERGÖTLANDS LÄN</t>
        </is>
      </c>
      <c r="G159" t="inlineStr">
        <is>
          <t>MOTALA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38660-2024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45546</v>
      </c>
      <c r="E160" s="1" t="n">
        <v>46216</v>
      </c>
      <c r="F160" t="inlineStr">
        <is>
          <t>ÖSTERGÖTLANDS LÄN</t>
        </is>
      </c>
      <c r="G160" t="inlineStr">
        <is>
          <t>MOTALA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40106-2025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46216</v>
      </c>
      <c r="F161" t="inlineStr">
        <is>
          <t>ÖSTERGÖTLANDS LÄN</t>
        </is>
      </c>
      <c r="G161" t="inlineStr">
        <is>
          <t>MOTALA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46216</v>
      </c>
      <c r="F162" t="inlineStr">
        <is>
          <t>ÖSTERGÖTLANDS LÄN</t>
        </is>
      </c>
      <c r="G162" t="inlineStr">
        <is>
          <t>MOTALA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37428-2021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44398</v>
      </c>
      <c r="E163" s="1" t="n">
        <v>46216</v>
      </c>
      <c r="F163" t="inlineStr">
        <is>
          <t>ÖSTERGÖTLANDS LÄN</t>
        </is>
      </c>
      <c r="G163" t="inlineStr">
        <is>
          <t>MOTALA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19526-2024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45429</v>
      </c>
      <c r="E164" s="1" t="n">
        <v>46216</v>
      </c>
      <c r="F164" t="inlineStr">
        <is>
          <t>ÖSTERGÖTLANDS LÄN</t>
        </is>
      </c>
      <c r="G164" t="inlineStr">
        <is>
          <t>MOTALA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50785-2021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44459</v>
      </c>
      <c r="E165" s="1" t="n">
        <v>46216</v>
      </c>
      <c r="F165" t="inlineStr">
        <is>
          <t>ÖSTERGÖTLANDS LÄN</t>
        </is>
      </c>
      <c r="G165" t="inlineStr">
        <is>
          <t>MOTALA</t>
        </is>
      </c>
      <c r="H165" t="inlineStr">
        <is>
          <t>Kyrkan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40995-2025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46216</v>
      </c>
      <c r="F166" t="inlineStr">
        <is>
          <t>ÖSTERGÖTLANDS LÄN</t>
        </is>
      </c>
      <c r="G166" t="inlineStr">
        <is>
          <t>MOTALA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46216</v>
      </c>
      <c r="F167" t="inlineStr">
        <is>
          <t>ÖSTERGÖTLANDS LÄN</t>
        </is>
      </c>
      <c r="G167" t="inlineStr">
        <is>
          <t>MOTALA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30606-2023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46216</v>
      </c>
      <c r="F168" t="inlineStr">
        <is>
          <t>ÖSTERGÖTLANDS LÄN</t>
        </is>
      </c>
      <c r="G168" t="inlineStr">
        <is>
          <t>MOTALA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64184-2023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46216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58331-2022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46216</v>
      </c>
      <c r="F170" t="inlineStr">
        <is>
          <t>ÖSTERGÖTLANDS LÄN</t>
        </is>
      </c>
      <c r="G170" t="inlineStr">
        <is>
          <t>MOTALA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46216</v>
      </c>
      <c r="F171" t="inlineStr">
        <is>
          <t>ÖSTERGÖTLANDS LÄN</t>
        </is>
      </c>
      <c r="G171" t="inlineStr">
        <is>
          <t>MOTALA</t>
        </is>
      </c>
      <c r="I171" t="n">
        <v>17.6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46216</v>
      </c>
      <c r="F172" t="inlineStr">
        <is>
          <t>ÖSTERGÖTLANDS LÄN</t>
        </is>
      </c>
      <c r="G172" t="inlineStr">
        <is>
          <t>MOTALA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2028-2022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44575</v>
      </c>
      <c r="E173" s="1" t="n">
        <v>46216</v>
      </c>
      <c r="F173" t="inlineStr">
        <is>
          <t>ÖSTERGÖTLANDS LÄN</t>
        </is>
      </c>
      <c r="G173" t="inlineStr">
        <is>
          <t>MOTALA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46216</v>
      </c>
      <c r="F174" t="inlineStr">
        <is>
          <t>ÖSTERGÖTLANDS LÄN</t>
        </is>
      </c>
      <c r="G174" t="inlineStr">
        <is>
          <t>MOTALA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46216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6996-2023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46216</v>
      </c>
      <c r="F176" t="inlineStr">
        <is>
          <t>ÖSTERGÖTLANDS LÄN</t>
        </is>
      </c>
      <c r="G176" t="inlineStr">
        <is>
          <t>MOTALA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15599-2024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46216</v>
      </c>
      <c r="F177" t="inlineStr">
        <is>
          <t>ÖSTERGÖTLANDS LÄN</t>
        </is>
      </c>
      <c r="G177" t="inlineStr">
        <is>
          <t>MOTALA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27896-2025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45817</v>
      </c>
      <c r="E178" s="1" t="n">
        <v>46216</v>
      </c>
      <c r="F178" t="inlineStr">
        <is>
          <t>ÖSTERGÖTLANDS LÄN</t>
        </is>
      </c>
      <c r="G178" t="inlineStr">
        <is>
          <t>MOTALA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31683-2022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46216</v>
      </c>
      <c r="F179" t="inlineStr">
        <is>
          <t>ÖSTERGÖTLANDS LÄN</t>
        </is>
      </c>
      <c r="G179" t="inlineStr">
        <is>
          <t>MOTALA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46216</v>
      </c>
      <c r="F180" t="inlineStr">
        <is>
          <t>ÖSTERGÖTLANDS LÄN</t>
        </is>
      </c>
      <c r="G180" t="inlineStr">
        <is>
          <t>MOTALA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45790-2025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46216</v>
      </c>
      <c r="F181" t="inlineStr">
        <is>
          <t>ÖSTERGÖTLANDS LÄN</t>
        </is>
      </c>
      <c r="G181" t="inlineStr">
        <is>
          <t>MOTALA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44861-2024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46216</v>
      </c>
      <c r="F182" t="inlineStr">
        <is>
          <t>ÖSTERGÖTLANDS LÄN</t>
        </is>
      </c>
      <c r="G182" t="inlineStr">
        <is>
          <t>MOTALA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11463-2025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46216</v>
      </c>
      <c r="F183" t="inlineStr">
        <is>
          <t>ÖSTERGÖTLANDS LÄN</t>
        </is>
      </c>
      <c r="G183" t="inlineStr">
        <is>
          <t>MOTALA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46216</v>
      </c>
      <c r="F184" t="inlineStr">
        <is>
          <t>ÖSTERGÖTLANDS LÄN</t>
        </is>
      </c>
      <c r="G184" t="inlineStr">
        <is>
          <t>MOTALA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46216</v>
      </c>
      <c r="F185" t="inlineStr">
        <is>
          <t>ÖSTERGÖTLANDS LÄN</t>
        </is>
      </c>
      <c r="G185" t="inlineStr">
        <is>
          <t>MOTALA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26350-2025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46216</v>
      </c>
      <c r="F186" t="inlineStr">
        <is>
          <t>ÖSTERGÖTLANDS LÄN</t>
        </is>
      </c>
      <c r="G186" t="inlineStr">
        <is>
          <t>MOTALA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24507-2025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46216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47278-2025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46216</v>
      </c>
      <c r="F188" t="inlineStr">
        <is>
          <t>ÖSTERGÖTLANDS LÄN</t>
        </is>
      </c>
      <c r="G188" t="inlineStr">
        <is>
          <t>MOTALA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47282-2025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46216</v>
      </c>
      <c r="F189" t="inlineStr">
        <is>
          <t>ÖSTERGÖTLANDS LÄN</t>
        </is>
      </c>
      <c r="G189" t="inlineStr">
        <is>
          <t>MOTALA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46216</v>
      </c>
      <c r="F190" t="inlineStr">
        <is>
          <t>ÖSTERGÖTLANDS LÄN</t>
        </is>
      </c>
      <c r="G190" t="inlineStr">
        <is>
          <t>MOTALA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47359-2025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46216</v>
      </c>
      <c r="F191" t="inlineStr">
        <is>
          <t>ÖSTERGÖTLANDS LÄN</t>
        </is>
      </c>
      <c r="G191" t="inlineStr">
        <is>
          <t>MOTALA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47362-2025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46216</v>
      </c>
      <c r="F192" t="inlineStr">
        <is>
          <t>ÖSTERGÖTLANDS LÄN</t>
        </is>
      </c>
      <c r="G192" t="inlineStr">
        <is>
          <t>MOTALA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46216</v>
      </c>
      <c r="F193" t="inlineStr">
        <is>
          <t>ÖSTERGÖTLANDS LÄN</t>
        </is>
      </c>
      <c r="G193" t="inlineStr">
        <is>
          <t>MOTALA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50248-2022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46216</v>
      </c>
      <c r="F194" t="inlineStr">
        <is>
          <t>ÖSTERGÖTLANDS LÄN</t>
        </is>
      </c>
      <c r="G194" t="inlineStr">
        <is>
          <t>MOTALA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56275-2022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44890</v>
      </c>
      <c r="E195" s="1" t="n">
        <v>46216</v>
      </c>
      <c r="F195" t="inlineStr">
        <is>
          <t>ÖSTERGÖTLANDS LÄN</t>
        </is>
      </c>
      <c r="G195" t="inlineStr">
        <is>
          <t>MOTALA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47381-2025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46216</v>
      </c>
      <c r="F196" t="inlineStr">
        <is>
          <t>ÖSTERGÖTLANDS LÄN</t>
        </is>
      </c>
      <c r="G196" t="inlineStr">
        <is>
          <t>MOTALA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46216</v>
      </c>
      <c r="F197" t="inlineStr">
        <is>
          <t>ÖSTERGÖTLANDS LÄN</t>
        </is>
      </c>
      <c r="G197" t="inlineStr">
        <is>
          <t>MOTALA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47369-2025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46216</v>
      </c>
      <c r="F198" t="inlineStr">
        <is>
          <t>ÖSTERGÖTLANDS LÄN</t>
        </is>
      </c>
      <c r="G198" t="inlineStr">
        <is>
          <t>MOTALA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26785-2024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45470</v>
      </c>
      <c r="E199" s="1" t="n">
        <v>46216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61002-2022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46216</v>
      </c>
      <c r="F200" t="inlineStr">
        <is>
          <t>ÖSTERGÖTLANDS LÄN</t>
        </is>
      </c>
      <c r="G200" t="inlineStr">
        <is>
          <t>MOTALA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46216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55277-2023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45237</v>
      </c>
      <c r="E202" s="1" t="n">
        <v>46216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46216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49456-2025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46216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13422-2022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44645</v>
      </c>
      <c r="E205" s="1" t="n">
        <v>46216</v>
      </c>
      <c r="F205" t="inlineStr">
        <is>
          <t>ÖSTERGÖTLANDS LÄN</t>
        </is>
      </c>
      <c r="G205" t="inlineStr">
        <is>
          <t>MOTALA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49147-2025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46216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49149-2025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46216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41924-2022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46216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41925-2022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46216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41929-2022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46216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7051-2024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46216</v>
      </c>
      <c r="F211" t="inlineStr">
        <is>
          <t>ÖSTERGÖTLANDS LÄN</t>
        </is>
      </c>
      <c r="G211" t="inlineStr">
        <is>
          <t>MOTALA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45099-2023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46216</v>
      </c>
      <c r="F212" t="inlineStr">
        <is>
          <t>ÖSTERGÖTLANDS LÄN</t>
        </is>
      </c>
      <c r="G212" t="inlineStr">
        <is>
          <t>MOTALA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46216</v>
      </c>
      <c r="F213" t="inlineStr">
        <is>
          <t>ÖSTERGÖTLANDS LÄN</t>
        </is>
      </c>
      <c r="G213" t="inlineStr">
        <is>
          <t>MOTALA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11061-2022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46216</v>
      </c>
      <c r="F214" t="inlineStr">
        <is>
          <t>ÖSTERGÖTLANDS LÄN</t>
        </is>
      </c>
      <c r="G214" t="inlineStr">
        <is>
          <t>MOTALA</t>
        </is>
      </c>
      <c r="H214" t="inlineStr">
        <is>
          <t>Allmännings- och besparingsskogar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46216</v>
      </c>
      <c r="F215" t="inlineStr">
        <is>
          <t>ÖSTERGÖTLANDS LÄN</t>
        </is>
      </c>
      <c r="G215" t="inlineStr">
        <is>
          <t>MOTALA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57992-2021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44487</v>
      </c>
      <c r="E216" s="1" t="n">
        <v>46216</v>
      </c>
      <c r="F216" t="inlineStr">
        <is>
          <t>ÖSTERGÖTLANDS LÄN</t>
        </is>
      </c>
      <c r="G216" t="inlineStr">
        <is>
          <t>MOTALA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6990-2023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46216</v>
      </c>
      <c r="F217" t="inlineStr">
        <is>
          <t>ÖSTERGÖTLANDS LÄN</t>
        </is>
      </c>
      <c r="G217" t="inlineStr">
        <is>
          <t>MOTALA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6992-2023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46216</v>
      </c>
      <c r="F218" t="inlineStr">
        <is>
          <t>ÖSTERGÖTLANDS LÄN</t>
        </is>
      </c>
      <c r="G218" t="inlineStr">
        <is>
          <t>MOTALA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49627-2021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44455</v>
      </c>
      <c r="E219" s="1" t="n">
        <v>46216</v>
      </c>
      <c r="F219" t="inlineStr">
        <is>
          <t>ÖSTERGÖTLANDS LÄN</t>
        </is>
      </c>
      <c r="G219" t="inlineStr">
        <is>
          <t>MOTALA</t>
        </is>
      </c>
      <c r="I219" t="n">
        <v>14.2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50082-2022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46216</v>
      </c>
      <c r="F220" t="inlineStr">
        <is>
          <t>ÖSTERGÖTLANDS LÄN</t>
        </is>
      </c>
      <c r="G220" t="inlineStr">
        <is>
          <t>MOTALA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60610-2022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46216</v>
      </c>
      <c r="F221" t="inlineStr">
        <is>
          <t>ÖSTERGÖTLANDS LÄN</t>
        </is>
      </c>
      <c r="G221" t="inlineStr">
        <is>
          <t>MOTALA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55395-2022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46216</v>
      </c>
      <c r="F222" t="inlineStr">
        <is>
          <t>ÖSTERGÖTLANDS LÄN</t>
        </is>
      </c>
      <c r="G222" t="inlineStr">
        <is>
          <t>MOTALA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44931</v>
      </c>
      <c r="E223" s="1" t="n">
        <v>46216</v>
      </c>
      <c r="F223" t="inlineStr">
        <is>
          <t>ÖSTERGÖTLANDS LÄN</t>
        </is>
      </c>
      <c r="G223" t="inlineStr">
        <is>
          <t>MOTALA</t>
        </is>
      </c>
      <c r="H223" t="inlineStr">
        <is>
          <t>Övriga statliga verk och myndigheter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28202-2023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46216</v>
      </c>
      <c r="F224" t="inlineStr">
        <is>
          <t>ÖSTERGÖTLANDS LÄN</t>
        </is>
      </c>
      <c r="G224" t="inlineStr">
        <is>
          <t>MOTALA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45335</v>
      </c>
      <c r="E225" s="1" t="n">
        <v>46216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46216</v>
      </c>
      <c r="F226" t="inlineStr">
        <is>
          <t>ÖSTERGÖTLANDS LÄN</t>
        </is>
      </c>
      <c r="G226" t="inlineStr">
        <is>
          <t>MOTALA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45439</v>
      </c>
      <c r="E227" s="1" t="n">
        <v>46216</v>
      </c>
      <c r="F227" t="inlineStr">
        <is>
          <t>ÖSTERGÖTLANDS LÄN</t>
        </is>
      </c>
      <c r="G227" t="inlineStr">
        <is>
          <t>MOTALA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54264-2025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46216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46216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50126-2023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46216</v>
      </c>
      <c r="F230" t="inlineStr">
        <is>
          <t>ÖSTERGÖTLANDS LÄN</t>
        </is>
      </c>
      <c r="G230" t="inlineStr">
        <is>
          <t>MOTALA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54568-2025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46216</v>
      </c>
      <c r="F231" t="inlineStr">
        <is>
          <t>ÖSTERGÖTLANDS LÄN</t>
        </is>
      </c>
      <c r="G231" t="inlineStr">
        <is>
          <t>MOTALA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54171-2025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46216</v>
      </c>
      <c r="F232" t="inlineStr">
        <is>
          <t>ÖSTERGÖTLANDS LÄN</t>
        </is>
      </c>
      <c r="G232" t="inlineStr">
        <is>
          <t>MOTALA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44592</v>
      </c>
      <c r="E233" s="1" t="n">
        <v>46216</v>
      </c>
      <c r="F233" t="inlineStr">
        <is>
          <t>ÖSTERGÖTLANDS LÄN</t>
        </is>
      </c>
      <c r="G233" t="inlineStr">
        <is>
          <t>MOTALA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46216</v>
      </c>
      <c r="F234" t="inlineStr">
        <is>
          <t>ÖSTERGÖTLANDS LÄN</t>
        </is>
      </c>
      <c r="G234" t="inlineStr">
        <is>
          <t>MOTALA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45237-2024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45575</v>
      </c>
      <c r="E235" s="1" t="n">
        <v>46216</v>
      </c>
      <c r="F235" t="inlineStr">
        <is>
          <t>ÖSTERGÖTLANDS LÄN</t>
        </is>
      </c>
      <c r="G235" t="inlineStr">
        <is>
          <t>MOTALA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46216</v>
      </c>
      <c r="F236" t="inlineStr">
        <is>
          <t>ÖSTERGÖTLANDS LÄN</t>
        </is>
      </c>
      <c r="G236" t="inlineStr">
        <is>
          <t>MOTALA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54125-2022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44881</v>
      </c>
      <c r="E237" s="1" t="n">
        <v>46216</v>
      </c>
      <c r="F237" t="inlineStr">
        <is>
          <t>ÖSTERGÖTLANDS LÄN</t>
        </is>
      </c>
      <c r="G237" t="inlineStr">
        <is>
          <t>MOTALA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55025-2024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45621</v>
      </c>
      <c r="E238" s="1" t="n">
        <v>46216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45659</v>
      </c>
      <c r="E239" s="1" t="n">
        <v>46216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7358-2026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46216</v>
      </c>
      <c r="F240" t="inlineStr">
        <is>
          <t>ÖSTERGÖTLANDS LÄN</t>
        </is>
      </c>
      <c r="G240" t="inlineStr">
        <is>
          <t>MOTALA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64186-2023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46216</v>
      </c>
      <c r="F241" t="inlineStr">
        <is>
          <t>ÖSTERGÖTLANDS LÄN</t>
        </is>
      </c>
      <c r="G241" t="inlineStr">
        <is>
          <t>MOTALA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58385-2025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45985</v>
      </c>
      <c r="E242" s="1" t="n">
        <v>46216</v>
      </c>
      <c r="F242" t="inlineStr">
        <is>
          <t>ÖSTERGÖTLANDS LÄN</t>
        </is>
      </c>
      <c r="G242" t="inlineStr">
        <is>
          <t>MOTALA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48684-2024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46216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31753-2022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44776</v>
      </c>
      <c r="E244" s="1" t="n">
        <v>46216</v>
      </c>
      <c r="F244" t="inlineStr">
        <is>
          <t>ÖSTERGÖTLANDS LÄN</t>
        </is>
      </c>
      <c r="G244" t="inlineStr">
        <is>
          <t>MOTALA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46216</v>
      </c>
      <c r="F245" t="inlineStr">
        <is>
          <t>ÖSTERGÖTLANDS LÄN</t>
        </is>
      </c>
      <c r="G245" t="inlineStr">
        <is>
          <t>MOTALA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8111-2024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46216</v>
      </c>
      <c r="F246" t="inlineStr">
        <is>
          <t>ÖSTERGÖTLANDS LÄN</t>
        </is>
      </c>
      <c r="G246" t="inlineStr">
        <is>
          <t>MOTALA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7586-2026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46061</v>
      </c>
      <c r="E247" s="1" t="n">
        <v>46216</v>
      </c>
      <c r="F247" t="inlineStr">
        <is>
          <t>ÖSTERGÖTLANDS LÄN</t>
        </is>
      </c>
      <c r="G247" t="inlineStr">
        <is>
          <t>MOTALA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40191-2021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44418</v>
      </c>
      <c r="E248" s="1" t="n">
        <v>46216</v>
      </c>
      <c r="F248" t="inlineStr">
        <is>
          <t>ÖSTERGÖTLANDS LÄN</t>
        </is>
      </c>
      <c r="G248" t="inlineStr">
        <is>
          <t>MOTALA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8153-2026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46216</v>
      </c>
      <c r="F249" t="inlineStr">
        <is>
          <t>ÖSTERGÖTLANDS LÄN</t>
        </is>
      </c>
      <c r="G249" t="inlineStr">
        <is>
          <t>MOTALA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8138-2026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46216</v>
      </c>
      <c r="F250" t="inlineStr">
        <is>
          <t>ÖSTERGÖTLANDS LÄN</t>
        </is>
      </c>
      <c r="G250" t="inlineStr">
        <is>
          <t>MOTALA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31441-2023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46216</v>
      </c>
      <c r="F251" t="inlineStr">
        <is>
          <t>ÖSTERGÖTLANDS LÄN</t>
        </is>
      </c>
      <c r="G251" t="inlineStr">
        <is>
          <t>MOTALA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8785-2026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46216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24701-2024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46216</v>
      </c>
      <c r="F253" t="inlineStr">
        <is>
          <t>ÖSTERGÖTLANDS LÄN</t>
        </is>
      </c>
      <c r="G253" t="inlineStr">
        <is>
          <t>MOTALA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8787-2026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46216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8788-2026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46216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8791-2026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46216</v>
      </c>
      <c r="F256" t="inlineStr">
        <is>
          <t>ÖSTERGÖTLANDS LÄN</t>
        </is>
      </c>
      <c r="G256" t="inlineStr">
        <is>
          <t>MOTALA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8794-2026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46216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8779-2026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46216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8774-2026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46216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8776-2026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46216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8784-2026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46216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8620-2026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46216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9000-2026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46216</v>
      </c>
      <c r="F263" t="inlineStr">
        <is>
          <t>ÖSTERGÖTLANDS LÄN</t>
        </is>
      </c>
      <c r="G263" t="inlineStr">
        <is>
          <t>MOTALA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9002-2026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46216</v>
      </c>
      <c r="F264" t="inlineStr">
        <is>
          <t>ÖSTERGÖTLANDS LÄN</t>
        </is>
      </c>
      <c r="G264" t="inlineStr">
        <is>
          <t>MOTALA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8781-2026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46216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8783-2026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46216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22113-2023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46216</v>
      </c>
      <c r="F267" t="inlineStr">
        <is>
          <t>ÖSTERGÖTLANDS LÄN</t>
        </is>
      </c>
      <c r="G267" t="inlineStr">
        <is>
          <t>MOTALA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9960-2026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46216</v>
      </c>
      <c r="F268" t="inlineStr">
        <is>
          <t>ÖSTERGÖTLANDS LÄN</t>
        </is>
      </c>
      <c r="G268" t="inlineStr">
        <is>
          <t>MOTALA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53820-2024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46216</v>
      </c>
      <c r="F269" t="inlineStr">
        <is>
          <t>ÖSTERGÖTLANDS LÄN</t>
        </is>
      </c>
      <c r="G269" t="inlineStr">
        <is>
          <t>MOTALA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46216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60742-2025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45998</v>
      </c>
      <c r="E271" s="1" t="n">
        <v>46216</v>
      </c>
      <c r="F271" t="inlineStr">
        <is>
          <t>ÖSTERGÖTLANDS LÄN</t>
        </is>
      </c>
      <c r="G271" t="inlineStr">
        <is>
          <t>MOTALA</t>
        </is>
      </c>
      <c r="I271" t="n">
        <v>15.9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61952-2025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46216</v>
      </c>
      <c r="F272" t="inlineStr">
        <is>
          <t>ÖSTERGÖTLANDS LÄN</t>
        </is>
      </c>
      <c r="G272" t="inlineStr">
        <is>
          <t>MOTALA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27220-2023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46216</v>
      </c>
      <c r="F273" t="inlineStr">
        <is>
          <t>ÖSTERGÖTLANDS LÄN</t>
        </is>
      </c>
      <c r="G273" t="inlineStr">
        <is>
          <t>MOTALA</t>
        </is>
      </c>
      <c r="H273" t="inlineStr">
        <is>
          <t>Övriga statliga verk och myndigheter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46216</v>
      </c>
      <c r="F274" t="inlineStr">
        <is>
          <t>ÖSTERGÖTLANDS LÄN</t>
        </is>
      </c>
      <c r="G274" t="inlineStr">
        <is>
          <t>MOTALA</t>
        </is>
      </c>
      <c r="H274" t="inlineStr">
        <is>
          <t>Övriga statliga verk och myndigheter</t>
        </is>
      </c>
      <c r="I274" t="n">
        <v>12.2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10510-2026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46077</v>
      </c>
      <c r="E275" s="1" t="n">
        <v>46216</v>
      </c>
      <c r="F275" t="inlineStr">
        <is>
          <t>ÖSTERGÖTLANDS LÄN</t>
        </is>
      </c>
      <c r="G275" t="inlineStr">
        <is>
          <t>MOTALA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29523-2024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46216</v>
      </c>
      <c r="F276" t="inlineStr">
        <is>
          <t>ÖSTERGÖTLANDS LÄN</t>
        </is>
      </c>
      <c r="G276" t="inlineStr">
        <is>
          <t>MOTALA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11319-2026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46216</v>
      </c>
      <c r="F277" t="inlineStr">
        <is>
          <t>ÖSTERGÖTLANDS LÄN</t>
        </is>
      </c>
      <c r="G277" t="inlineStr">
        <is>
          <t>MOTALA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11317-2026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46216</v>
      </c>
      <c r="F278" t="inlineStr">
        <is>
          <t>ÖSTERGÖTLANDS LÄN</t>
        </is>
      </c>
      <c r="G278" t="inlineStr">
        <is>
          <t>MOTALA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11315-2026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46216</v>
      </c>
      <c r="F279" t="inlineStr">
        <is>
          <t>ÖSTERGÖTLANDS LÄN</t>
        </is>
      </c>
      <c r="G279" t="inlineStr">
        <is>
          <t>MOTALA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11318-2026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46216</v>
      </c>
      <c r="F280" t="inlineStr">
        <is>
          <t>ÖSTERGÖTLANDS LÄN</t>
        </is>
      </c>
      <c r="G280" t="inlineStr">
        <is>
          <t>MOTALA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46216</v>
      </c>
      <c r="F281" t="inlineStr">
        <is>
          <t>ÖSTERGÖTLANDS LÄN</t>
        </is>
      </c>
      <c r="G281" t="inlineStr">
        <is>
          <t>MOTALA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71205-2021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44539</v>
      </c>
      <c r="E282" s="1" t="n">
        <v>46216</v>
      </c>
      <c r="F282" t="inlineStr">
        <is>
          <t>ÖSTERGÖTLANDS LÄN</t>
        </is>
      </c>
      <c r="G282" t="inlineStr">
        <is>
          <t>MOTALA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28686-2022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44748</v>
      </c>
      <c r="E283" s="1" t="n">
        <v>46216</v>
      </c>
      <c r="F283" t="inlineStr">
        <is>
          <t>ÖSTERGÖTLANDS LÄN</t>
        </is>
      </c>
      <c r="G283" t="inlineStr">
        <is>
          <t>MOTALA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44942</v>
      </c>
      <c r="E284" s="1" t="n">
        <v>46216</v>
      </c>
      <c r="F284" t="inlineStr">
        <is>
          <t>ÖSTERGÖTLANDS LÄN</t>
        </is>
      </c>
      <c r="G284" t="inlineStr">
        <is>
          <t>MOTALA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18458-2024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45425</v>
      </c>
      <c r="E285" s="1" t="n">
        <v>46216</v>
      </c>
      <c r="F285" t="inlineStr">
        <is>
          <t>ÖSTERGÖTLANDS LÄN</t>
        </is>
      </c>
      <c r="G285" t="inlineStr">
        <is>
          <t>MOTALA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24247-2022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44725</v>
      </c>
      <c r="E286" s="1" t="n">
        <v>46216</v>
      </c>
      <c r="F286" t="inlineStr">
        <is>
          <t>ÖSTERGÖTLANDS LÄN</t>
        </is>
      </c>
      <c r="G286" t="inlineStr">
        <is>
          <t>MOTALA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51092-2024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46216</v>
      </c>
      <c r="F287" t="inlineStr">
        <is>
          <t>ÖSTERGÖTLANDS LÄN</t>
        </is>
      </c>
      <c r="G287" t="inlineStr">
        <is>
          <t>MOTALA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18921-2024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46216</v>
      </c>
      <c r="F288" t="inlineStr">
        <is>
          <t>ÖSTERGÖTLANDS LÄN</t>
        </is>
      </c>
      <c r="G288" t="inlineStr">
        <is>
          <t>MOTALA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5073-2023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46216</v>
      </c>
      <c r="F289" t="inlineStr">
        <is>
          <t>ÖSTERGÖTLANDS LÄN</t>
        </is>
      </c>
      <c r="G289" t="inlineStr">
        <is>
          <t>MOTALA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28194-2023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45099</v>
      </c>
      <c r="E290" s="1" t="n">
        <v>46216</v>
      </c>
      <c r="F290" t="inlineStr">
        <is>
          <t>ÖSTERGÖTLANDS LÄN</t>
        </is>
      </c>
      <c r="G290" t="inlineStr">
        <is>
          <t>MOTALA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12639-2026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46216</v>
      </c>
      <c r="F291" t="inlineStr">
        <is>
          <t>ÖSTERGÖTLANDS LÄN</t>
        </is>
      </c>
      <c r="G291" t="inlineStr">
        <is>
          <t>MOTALA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12642-2026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46216</v>
      </c>
      <c r="F292" t="inlineStr">
        <is>
          <t>ÖSTERGÖTLANDS LÄN</t>
        </is>
      </c>
      <c r="G292" t="inlineStr">
        <is>
          <t>MOTALA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12627-2026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46091</v>
      </c>
      <c r="E293" s="1" t="n">
        <v>46216</v>
      </c>
      <c r="F293" t="inlineStr">
        <is>
          <t>ÖSTERGÖTLANDS LÄN</t>
        </is>
      </c>
      <c r="G293" t="inlineStr">
        <is>
          <t>MOTALA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12982-2026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46216</v>
      </c>
      <c r="F294" t="inlineStr">
        <is>
          <t>ÖSTERGÖTLANDS LÄN</t>
        </is>
      </c>
      <c r="G294" t="inlineStr">
        <is>
          <t>MOTALA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56325-2024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45624</v>
      </c>
      <c r="E295" s="1" t="n">
        <v>46216</v>
      </c>
      <c r="F295" t="inlineStr">
        <is>
          <t>ÖSTERGÖTLANDS LÄN</t>
        </is>
      </c>
      <c r="G295" t="inlineStr">
        <is>
          <t>MOTALA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43695-2021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44433</v>
      </c>
      <c r="E296" s="1" t="n">
        <v>46216</v>
      </c>
      <c r="F296" t="inlineStr">
        <is>
          <t>ÖSTERGÖTLANDS LÄN</t>
        </is>
      </c>
      <c r="G296" t="inlineStr">
        <is>
          <t>MOTALA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12968-2026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46092</v>
      </c>
      <c r="E297" s="1" t="n">
        <v>46216</v>
      </c>
      <c r="F297" t="inlineStr">
        <is>
          <t>ÖSTERGÖTLANDS LÄN</t>
        </is>
      </c>
      <c r="G297" t="inlineStr">
        <is>
          <t>MOTALA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12989-2026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46216</v>
      </c>
      <c r="F298" t="inlineStr">
        <is>
          <t>ÖSTERGÖTLANDS LÄN</t>
        </is>
      </c>
      <c r="G298" t="inlineStr">
        <is>
          <t>MOTALA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13303-2026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46216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13304-2026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46216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65566-2021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44516</v>
      </c>
      <c r="E301" s="1" t="n">
        <v>46216</v>
      </c>
      <c r="F301" t="inlineStr">
        <is>
          <t>ÖSTERGÖTLANDS LÄN</t>
        </is>
      </c>
      <c r="G301" t="inlineStr">
        <is>
          <t>MOTALA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13298-2026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46216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13300-2026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46216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46216</v>
      </c>
      <c r="F304" t="inlineStr">
        <is>
          <t>ÖSTERGÖTLANDS LÄN</t>
        </is>
      </c>
      <c r="G304" t="inlineStr">
        <is>
          <t>MOTALA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15057-2026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46216</v>
      </c>
      <c r="F305" t="inlineStr">
        <is>
          <t>ÖSTERGÖTLANDS LÄN</t>
        </is>
      </c>
      <c r="G305" t="inlineStr">
        <is>
          <t>MOTALA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14920-2026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46216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46216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15551-2026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46106</v>
      </c>
      <c r="E308" s="1" t="n">
        <v>46216</v>
      </c>
      <c r="F308" t="inlineStr">
        <is>
          <t>ÖSTERGÖTLANDS LÄN</t>
        </is>
      </c>
      <c r="G308" t="inlineStr">
        <is>
          <t>MOTALA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15077-2026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46216</v>
      </c>
      <c r="F309" t="inlineStr">
        <is>
          <t>ÖSTERGÖTLANDS LÄN</t>
        </is>
      </c>
      <c r="G309" t="inlineStr">
        <is>
          <t>MOTALA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49249-2023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46216</v>
      </c>
      <c r="F310" t="inlineStr">
        <is>
          <t>ÖSTERGÖTLANDS LÄN</t>
        </is>
      </c>
      <c r="G310" t="inlineStr">
        <is>
          <t>MOTALA</t>
        </is>
      </c>
      <c r="H310" t="inlineStr">
        <is>
          <t>Övriga statliga verk och myndigheter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15076-2026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46216</v>
      </c>
      <c r="F311" t="inlineStr">
        <is>
          <t>ÖSTERGÖTLANDS LÄN</t>
        </is>
      </c>
      <c r="G311" t="inlineStr">
        <is>
          <t>MOTALA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17008-2022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44676</v>
      </c>
      <c r="E312" s="1" t="n">
        <v>46216</v>
      </c>
      <c r="F312" t="inlineStr">
        <is>
          <t>ÖSTERGÖTLANDS LÄN</t>
        </is>
      </c>
      <c r="G312" t="inlineStr">
        <is>
          <t>MOTALA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15331-2026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46216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8724-2022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44613</v>
      </c>
      <c r="E314" s="1" t="n">
        <v>46216</v>
      </c>
      <c r="F314" t="inlineStr">
        <is>
          <t>ÖSTERGÖTLANDS LÄN</t>
        </is>
      </c>
      <c r="G314" t="inlineStr">
        <is>
          <t>MOTALA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45294</v>
      </c>
      <c r="E315" s="1" t="n">
        <v>46216</v>
      </c>
      <c r="F315" t="inlineStr">
        <is>
          <t>ÖSTERGÖTLANDS LÄN</t>
        </is>
      </c>
      <c r="G315" t="inlineStr">
        <is>
          <t>MOTALA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38878-2023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46216</v>
      </c>
      <c r="F316" t="inlineStr">
        <is>
          <t>ÖSTERGÖTLANDS LÄN</t>
        </is>
      </c>
      <c r="G316" t="inlineStr">
        <is>
          <t>MOTALA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16452-2023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46216</v>
      </c>
      <c r="F317" t="inlineStr">
        <is>
          <t>ÖSTERGÖTLANDS LÄN</t>
        </is>
      </c>
      <c r="G317" t="inlineStr">
        <is>
          <t>MOTALA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53438-2024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45614</v>
      </c>
      <c r="E318" s="1" t="n">
        <v>46216</v>
      </c>
      <c r="F318" t="inlineStr">
        <is>
          <t>ÖSTERGÖTLANDS LÄN</t>
        </is>
      </c>
      <c r="G318" t="inlineStr">
        <is>
          <t>MOTALA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45589</v>
      </c>
      <c r="E319" s="1" t="n">
        <v>46216</v>
      </c>
      <c r="F319" t="inlineStr">
        <is>
          <t>ÖSTERGÖTLANDS LÄN</t>
        </is>
      </c>
      <c r="G319" t="inlineStr">
        <is>
          <t>MOTALA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62078-2023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46216</v>
      </c>
      <c r="F320" t="inlineStr">
        <is>
          <t>ÖSTERGÖTLANDS LÄN</t>
        </is>
      </c>
      <c r="G320" t="inlineStr">
        <is>
          <t>MOTALA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17741-2026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46216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17937-2026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46216</v>
      </c>
      <c r="F322" t="inlineStr">
        <is>
          <t>ÖSTERGÖTLANDS LÄN</t>
        </is>
      </c>
      <c r="G322" t="inlineStr">
        <is>
          <t>MOTALA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50733-2024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45602</v>
      </c>
      <c r="E323" s="1" t="n">
        <v>46216</v>
      </c>
      <c r="F323" t="inlineStr">
        <is>
          <t>ÖSTERGÖTLANDS LÄN</t>
        </is>
      </c>
      <c r="G323" t="inlineStr">
        <is>
          <t>MOTALA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53454-2024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45614</v>
      </c>
      <c r="E324" s="1" t="n">
        <v>46216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62075-2023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46216</v>
      </c>
      <c r="F325" t="inlineStr">
        <is>
          <t>ÖSTERGÖTLANDS LÄN</t>
        </is>
      </c>
      <c r="G325" t="inlineStr">
        <is>
          <t>MOTALA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62077-2023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46216</v>
      </c>
      <c r="F326" t="inlineStr">
        <is>
          <t>ÖSTERGÖTLANDS LÄN</t>
        </is>
      </c>
      <c r="G326" t="inlineStr">
        <is>
          <t>MOTALA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62079-2023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46216</v>
      </c>
      <c r="F327" t="inlineStr">
        <is>
          <t>ÖSTERGÖTLANDS LÄN</t>
        </is>
      </c>
      <c r="G327" t="inlineStr">
        <is>
          <t>MOTALA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52302-2023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45224</v>
      </c>
      <c r="E328" s="1" t="n">
        <v>46216</v>
      </c>
      <c r="F328" t="inlineStr">
        <is>
          <t>ÖSTERGÖTLANDS LÄN</t>
        </is>
      </c>
      <c r="G328" t="inlineStr">
        <is>
          <t>MOTALA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9622-2023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46216</v>
      </c>
      <c r="F329" t="inlineStr">
        <is>
          <t>ÖSTERGÖTLANDS LÄN</t>
        </is>
      </c>
      <c r="G329" t="inlineStr">
        <is>
          <t>MOTALA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19234-2024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45428</v>
      </c>
      <c r="E330" s="1" t="n">
        <v>46216</v>
      </c>
      <c r="F330" t="inlineStr">
        <is>
          <t>ÖSTERGÖTLANDS LÄN</t>
        </is>
      </c>
      <c r="G330" t="inlineStr">
        <is>
          <t>MOTALA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42137-2024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46216</v>
      </c>
      <c r="F331" t="inlineStr">
        <is>
          <t>ÖSTERGÖTLANDS LÄN</t>
        </is>
      </c>
      <c r="G331" t="inlineStr">
        <is>
          <t>MOTALA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2196-2023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46216</v>
      </c>
      <c r="F332" t="inlineStr">
        <is>
          <t>ÖSTERGÖTLANDS LÄN</t>
        </is>
      </c>
      <c r="G332" t="inlineStr">
        <is>
          <t>MOTALA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47510-2022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46216</v>
      </c>
      <c r="F333" t="inlineStr">
        <is>
          <t>ÖSTERGÖTLANDS LÄN</t>
        </is>
      </c>
      <c r="G333" t="inlineStr">
        <is>
          <t>MOTALA</t>
        </is>
      </c>
      <c r="H333" t="inlineStr">
        <is>
          <t>Övriga statliga verk och myndigheter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24830-2026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46216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64161-2023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46216</v>
      </c>
      <c r="F335" t="inlineStr">
        <is>
          <t>ÖSTERGÖTLANDS LÄN</t>
        </is>
      </c>
      <c r="G335" t="inlineStr">
        <is>
          <t>MOTALA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64175-2023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45279</v>
      </c>
      <c r="E336" s="1" t="n">
        <v>46216</v>
      </c>
      <c r="F336" t="inlineStr">
        <is>
          <t>ÖSTERGÖTLANDS LÄN</t>
        </is>
      </c>
      <c r="G336" t="inlineStr">
        <is>
          <t>MOTALA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46216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24831-2026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46216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24832-2026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46216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46216</v>
      </c>
      <c r="F340" t="inlineStr">
        <is>
          <t>ÖSTERGÖTLANDS LÄN</t>
        </is>
      </c>
      <c r="G340" t="inlineStr">
        <is>
          <t>MOTALA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19108-2026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46216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11.6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19110-2026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46216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46216</v>
      </c>
      <c r="F343" t="inlineStr">
        <is>
          <t>ÖSTERGÖTLANDS LÄN</t>
        </is>
      </c>
      <c r="G343" t="inlineStr">
        <is>
          <t>MOTALA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40528-2022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44819</v>
      </c>
      <c r="E344" s="1" t="n">
        <v>46216</v>
      </c>
      <c r="F344" t="inlineStr">
        <is>
          <t>ÖSTERGÖTLANDS LÄN</t>
        </is>
      </c>
      <c r="G344" t="inlineStr">
        <is>
          <t>MOTALA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21048-2024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45439</v>
      </c>
      <c r="E345" s="1" t="n">
        <v>46216</v>
      </c>
      <c r="F345" t="inlineStr">
        <is>
          <t>ÖSTERGÖTLANDS LÄN</t>
        </is>
      </c>
      <c r="G345" t="inlineStr">
        <is>
          <t>MOTALA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44298-2023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46216</v>
      </c>
      <c r="F346" t="inlineStr">
        <is>
          <t>ÖSTERGÖTLANDS LÄN</t>
        </is>
      </c>
      <c r="G346" t="inlineStr">
        <is>
          <t>MOTALA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42130-2024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46216</v>
      </c>
      <c r="F347" t="inlineStr">
        <is>
          <t>ÖSTERGÖTLANDS LÄN</t>
        </is>
      </c>
      <c r="G347" t="inlineStr">
        <is>
          <t>MOTALA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62556-2021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44503</v>
      </c>
      <c r="E348" s="1" t="n">
        <v>46216</v>
      </c>
      <c r="F348" t="inlineStr">
        <is>
          <t>ÖSTERGÖTLANDS LÄN</t>
        </is>
      </c>
      <c r="G348" t="inlineStr">
        <is>
          <t>MOTALA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17148-2023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46216</v>
      </c>
      <c r="F349" t="inlineStr">
        <is>
          <t>ÖSTERGÖTLANDS LÄN</t>
        </is>
      </c>
      <c r="G349" t="inlineStr">
        <is>
          <t>MOTALA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41944-2022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44830</v>
      </c>
      <c r="E350" s="1" t="n">
        <v>46216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46216</v>
      </c>
      <c r="F351" t="inlineStr">
        <is>
          <t>ÖSTERGÖTLANDS LÄN</t>
        </is>
      </c>
      <c r="G351" t="inlineStr">
        <is>
          <t>MOTALA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21527-2023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45061</v>
      </c>
      <c r="E352" s="1" t="n">
        <v>46216</v>
      </c>
      <c r="F352" t="inlineStr">
        <is>
          <t>ÖSTERGÖTLANDS LÄN</t>
        </is>
      </c>
      <c r="G352" t="inlineStr">
        <is>
          <t>MOTALA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52385-2025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46216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43368-2023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46216</v>
      </c>
      <c r="F354" t="inlineStr">
        <is>
          <t>ÖSTERGÖTLANDS LÄN</t>
        </is>
      </c>
      <c r="G354" t="inlineStr">
        <is>
          <t>MOTALA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34761-2024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45526</v>
      </c>
      <c r="E355" s="1" t="n">
        <v>46216</v>
      </c>
      <c r="F355" t="inlineStr">
        <is>
          <t>ÖSTERGÖTLANDS LÄN</t>
        </is>
      </c>
      <c r="G355" t="inlineStr">
        <is>
          <t>MOTALA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8108-2024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45351</v>
      </c>
      <c r="E356" s="1" t="n">
        <v>46216</v>
      </c>
      <c r="F356" t="inlineStr">
        <is>
          <t>ÖSTERGÖTLANDS LÄN</t>
        </is>
      </c>
      <c r="G356" t="inlineStr">
        <is>
          <t>MOTALA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27410-2024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45473</v>
      </c>
      <c r="E357" s="1" t="n">
        <v>46216</v>
      </c>
      <c r="F357" t="inlineStr">
        <is>
          <t>ÖSTERGÖTLANDS LÄN</t>
        </is>
      </c>
      <c r="G357" t="inlineStr">
        <is>
          <t>MOTALA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46216</v>
      </c>
      <c r="F358" t="inlineStr">
        <is>
          <t>ÖSTERGÖTLANDS LÄN</t>
        </is>
      </c>
      <c r="G358" t="inlineStr">
        <is>
          <t>MOTALA</t>
        </is>
      </c>
      <c r="H358" t="inlineStr">
        <is>
          <t>Övriga statliga verk och myndigheter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37618-2025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46216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18915-2023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46216</v>
      </c>
      <c r="F360" t="inlineStr">
        <is>
          <t>ÖSTERGÖTLANDS LÄN</t>
        </is>
      </c>
      <c r="G360" t="inlineStr">
        <is>
          <t>MOTALA</t>
        </is>
      </c>
      <c r="H360" t="inlineStr">
        <is>
          <t>Övriga statliga verk och myndigheter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32889-2025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45839</v>
      </c>
      <c r="E361" s="1" t="n">
        <v>46216</v>
      </c>
      <c r="F361" t="inlineStr">
        <is>
          <t>ÖSTERGÖTLANDS LÄN</t>
        </is>
      </c>
      <c r="G361" t="inlineStr">
        <is>
          <t>MOTALA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18924-2024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45427</v>
      </c>
      <c r="E362" s="1" t="n">
        <v>46216</v>
      </c>
      <c r="F362" t="inlineStr">
        <is>
          <t>ÖSTERGÖTLANDS LÄN</t>
        </is>
      </c>
      <c r="G362" t="inlineStr">
        <is>
          <t>MOTALA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21204-2024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45440</v>
      </c>
      <c r="E363" s="1" t="n">
        <v>46216</v>
      </c>
      <c r="F363" t="inlineStr">
        <is>
          <t>ÖSTERGÖTLANDS LÄN</t>
        </is>
      </c>
      <c r="G363" t="inlineStr">
        <is>
          <t>MOTALA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12274-2022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44637</v>
      </c>
      <c r="E364" s="1" t="n">
        <v>46216</v>
      </c>
      <c r="F364" t="inlineStr">
        <is>
          <t>ÖSTERGÖTLANDS LÄN</t>
        </is>
      </c>
      <c r="G364" t="inlineStr">
        <is>
          <t>MOTALA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12091-2023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46216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4271-2025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46216</v>
      </c>
      <c r="F366" t="inlineStr">
        <is>
          <t>ÖSTERGÖTLANDS LÄN</t>
        </is>
      </c>
      <c r="G366" t="inlineStr">
        <is>
          <t>MOTALA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46216</v>
      </c>
      <c r="F367" t="inlineStr">
        <is>
          <t>ÖSTERGÖTLANDS LÄN</t>
        </is>
      </c>
      <c r="G367" t="inlineStr">
        <is>
          <t>MOTALA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7927-2022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46216</v>
      </c>
      <c r="F368" t="inlineStr">
        <is>
          <t>ÖSTERGÖTLANDS LÄN</t>
        </is>
      </c>
      <c r="G368" t="inlineStr">
        <is>
          <t>MOTALA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47875-2021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44448</v>
      </c>
      <c r="E369" s="1" t="n">
        <v>46216</v>
      </c>
      <c r="F369" t="inlineStr">
        <is>
          <t>ÖSTERGÖTLANDS LÄN</t>
        </is>
      </c>
      <c r="G369" t="inlineStr">
        <is>
          <t>MOTALA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12258-2024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45378</v>
      </c>
      <c r="E370" s="1" t="n">
        <v>46216</v>
      </c>
      <c r="F370" t="inlineStr">
        <is>
          <t>ÖSTERGÖTLANDS LÄN</t>
        </is>
      </c>
      <c r="G370" t="inlineStr">
        <is>
          <t>MOTALA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24254-2022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46216</v>
      </c>
      <c r="F371" t="inlineStr">
        <is>
          <t>ÖSTERGÖTLANDS LÄN</t>
        </is>
      </c>
      <c r="G371" t="inlineStr">
        <is>
          <t>MOTALA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10324-2023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46216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20815-2026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46141</v>
      </c>
      <c r="E373" s="1" t="n">
        <v>46216</v>
      </c>
      <c r="F373" t="inlineStr">
        <is>
          <t>ÖSTERGÖTLANDS LÄN</t>
        </is>
      </c>
      <c r="G373" t="inlineStr">
        <is>
          <t>MOTALA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20833-2026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46142</v>
      </c>
      <c r="E374" s="1" t="n">
        <v>46216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20832-2026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46142</v>
      </c>
      <c r="E375" s="1" t="n">
        <v>46216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12156-2024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46216</v>
      </c>
      <c r="F376" t="inlineStr">
        <is>
          <t>ÖSTERGÖTLANDS LÄN</t>
        </is>
      </c>
      <c r="G376" t="inlineStr">
        <is>
          <t>MOTALA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51762-2024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46216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46216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12155-2024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45377</v>
      </c>
      <c r="E379" s="1" t="n">
        <v>46216</v>
      </c>
      <c r="F379" t="inlineStr">
        <is>
          <t>ÖSTERGÖTLANDS LÄN</t>
        </is>
      </c>
      <c r="G379" t="inlineStr">
        <is>
          <t>MOTALA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27088-2026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46216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27418-2022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46216</v>
      </c>
      <c r="F381" t="inlineStr">
        <is>
          <t>ÖSTERGÖTLANDS LÄN</t>
        </is>
      </c>
      <c r="G381" t="inlineStr">
        <is>
          <t>MOTALA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27089-2026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46216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46216</v>
      </c>
      <c r="F383" t="inlineStr">
        <is>
          <t>ÖSTERGÖTLANDS LÄN</t>
        </is>
      </c>
      <c r="G383" t="inlineStr">
        <is>
          <t>MOTALA</t>
        </is>
      </c>
      <c r="H383" t="inlineStr">
        <is>
          <t>Övriga statliga verk och myndigheter</t>
        </is>
      </c>
      <c r="I383" t="n">
        <v>25.1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57697-2023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46216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24.8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63150-2023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45273</v>
      </c>
      <c r="E385" s="1" t="n">
        <v>46216</v>
      </c>
      <c r="F385" t="inlineStr">
        <is>
          <t>ÖSTERGÖTLANDS LÄN</t>
        </is>
      </c>
      <c r="G385" t="inlineStr">
        <is>
          <t>MOTALA</t>
        </is>
      </c>
      <c r="H385" t="inlineStr">
        <is>
          <t>Kyrkan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46216</v>
      </c>
      <c r="F386" t="inlineStr">
        <is>
          <t>ÖSTERGÖTLANDS LÄN</t>
        </is>
      </c>
      <c r="G386" t="inlineStr">
        <is>
          <t>MOTALA</t>
        </is>
      </c>
      <c r="H386" t="inlineStr">
        <is>
          <t>Allmännings- och besparingsskogar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36725-2022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44804</v>
      </c>
      <c r="E387" s="1" t="n">
        <v>46216</v>
      </c>
      <c r="F387" t="inlineStr">
        <is>
          <t>ÖSTERGÖTLANDS LÄN</t>
        </is>
      </c>
      <c r="G387" t="inlineStr">
        <is>
          <t>MOTALA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46216</v>
      </c>
      <c r="F388" t="inlineStr">
        <is>
          <t>ÖSTERGÖTLANDS LÄN</t>
        </is>
      </c>
      <c r="G388" t="inlineStr">
        <is>
          <t>MOTALA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27735-2026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46216</v>
      </c>
      <c r="F389" t="inlineStr">
        <is>
          <t>ÖSTERGÖTLANDS LÄN</t>
        </is>
      </c>
      <c r="G389" t="inlineStr">
        <is>
          <t>MOTALA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27587-2026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46216</v>
      </c>
      <c r="F390" t="inlineStr">
        <is>
          <t>ÖSTERGÖTLANDS LÄN</t>
        </is>
      </c>
      <c r="G390" t="inlineStr">
        <is>
          <t>MOTALA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27695-2026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46216</v>
      </c>
      <c r="F391" t="inlineStr">
        <is>
          <t>ÖSTERGÖTLANDS LÄN</t>
        </is>
      </c>
      <c r="G391" t="inlineStr">
        <is>
          <t>MOTALA</t>
        </is>
      </c>
      <c r="H391" t="inlineStr">
        <is>
          <t>Allmännings- och besparingsskogar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43905-2021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44434</v>
      </c>
      <c r="E392" s="1" t="n">
        <v>46216</v>
      </c>
      <c r="F392" t="inlineStr">
        <is>
          <t>ÖSTERGÖTLANDS LÄN</t>
        </is>
      </c>
      <c r="G392" t="inlineStr">
        <is>
          <t>MOTALA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42311-2021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44427</v>
      </c>
      <c r="E393" s="1" t="n">
        <v>46216</v>
      </c>
      <c r="F393" t="inlineStr">
        <is>
          <t>ÖSTERGÖTLANDS LÄN</t>
        </is>
      </c>
      <c r="G393" t="inlineStr">
        <is>
          <t>MOTALA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55295-2023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45237</v>
      </c>
      <c r="E394" s="1" t="n">
        <v>46216</v>
      </c>
      <c r="F394" t="inlineStr">
        <is>
          <t>ÖSTERGÖTLANDS LÄN</t>
        </is>
      </c>
      <c r="G394" t="inlineStr">
        <is>
          <t>MOTALA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65561-2021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44516</v>
      </c>
      <c r="E395" s="1" t="n">
        <v>46216</v>
      </c>
      <c r="F395" t="inlineStr">
        <is>
          <t>ÖSTERGÖTLANDS LÄN</t>
        </is>
      </c>
      <c r="G395" t="inlineStr">
        <is>
          <t>MOTALA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32470-2022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44782</v>
      </c>
      <c r="E396" s="1" t="n">
        <v>46216</v>
      </c>
      <c r="F396" t="inlineStr">
        <is>
          <t>ÖSTERGÖTLANDS LÄN</t>
        </is>
      </c>
      <c r="G396" t="inlineStr">
        <is>
          <t>MOTALA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27161-2025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45812</v>
      </c>
      <c r="E397" s="1" t="n">
        <v>46216</v>
      </c>
      <c r="F397" t="inlineStr">
        <is>
          <t>ÖSTERGÖTLANDS LÄN</t>
        </is>
      </c>
      <c r="G397" t="inlineStr">
        <is>
          <t>MOTALA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1645-2022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44573</v>
      </c>
      <c r="E398" s="1" t="n">
        <v>46216</v>
      </c>
      <c r="F398" t="inlineStr">
        <is>
          <t>ÖSTERGÖTLANDS LÄN</t>
        </is>
      </c>
      <c r="G398" t="inlineStr">
        <is>
          <t>MOTALA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12434-2023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44999</v>
      </c>
      <c r="E399" s="1" t="n">
        <v>46216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42298-2023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45180</v>
      </c>
      <c r="E400" s="1" t="n">
        <v>46216</v>
      </c>
      <c r="F400" t="inlineStr">
        <is>
          <t>ÖSTERGÖTLANDS LÄN</t>
        </is>
      </c>
      <c r="G400" t="inlineStr">
        <is>
          <t>MOTALA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28700-2026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46216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46216</v>
      </c>
      <c r="F402" t="inlineStr">
        <is>
          <t>ÖSTERGÖTLANDS LÄN</t>
        </is>
      </c>
      <c r="G402" t="inlineStr">
        <is>
          <t>MOTALA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46681-2021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44445</v>
      </c>
      <c r="E403" s="1" t="n">
        <v>46216</v>
      </c>
      <c r="F403" t="inlineStr">
        <is>
          <t>ÖSTERGÖTLANDS LÄN</t>
        </is>
      </c>
      <c r="G403" t="inlineStr">
        <is>
          <t>MOTALA</t>
        </is>
      </c>
      <c r="H403" t="inlineStr">
        <is>
          <t>Övriga statliga verk och myndigheter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56867-2022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44894</v>
      </c>
      <c r="E404" s="1" t="n">
        <v>46216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28678-2026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46216</v>
      </c>
      <c r="F405" t="inlineStr">
        <is>
          <t>ÖSTERGÖTLANDS LÄN</t>
        </is>
      </c>
      <c r="G405" t="inlineStr">
        <is>
          <t>MOTALA</t>
        </is>
      </c>
      <c r="H405" t="inlineStr">
        <is>
          <t>Allmännings- och besparingsskogar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28684-2026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46216</v>
      </c>
      <c r="F406" t="inlineStr">
        <is>
          <t>ÖSTERGÖTLANDS LÄN</t>
        </is>
      </c>
      <c r="G406" t="inlineStr">
        <is>
          <t>MOTALA</t>
        </is>
      </c>
      <c r="H406" t="inlineStr">
        <is>
          <t>Allmännings- och besparingsskogar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27965-2024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45476</v>
      </c>
      <c r="E407" s="1" t="n">
        <v>46216</v>
      </c>
      <c r="F407" t="inlineStr">
        <is>
          <t>ÖSTERGÖTLANDS LÄN</t>
        </is>
      </c>
      <c r="G407" t="inlineStr">
        <is>
          <t>MOTALA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28699-2026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46216</v>
      </c>
      <c r="F408" t="inlineStr">
        <is>
          <t>ÖSTERGÖTLANDS LÄN</t>
        </is>
      </c>
      <c r="G408" t="inlineStr">
        <is>
          <t>MOTALA</t>
        </is>
      </c>
      <c r="H408" t="inlineStr">
        <is>
          <t>Allmännings- och besparingsskogar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58344-2022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46216</v>
      </c>
      <c r="F409" t="inlineStr">
        <is>
          <t>ÖSTERGÖTLANDS LÄN</t>
        </is>
      </c>
      <c r="G409" t="inlineStr">
        <is>
          <t>MOTALA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29525-2024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46216</v>
      </c>
      <c r="F410" t="inlineStr">
        <is>
          <t>ÖSTERGÖTLANDS LÄN</t>
        </is>
      </c>
      <c r="G410" t="inlineStr">
        <is>
          <t>MOTALA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22795-2026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46158</v>
      </c>
      <c r="E411" s="1" t="n">
        <v>46216</v>
      </c>
      <c r="F411" t="inlineStr">
        <is>
          <t>ÖSTERGÖTLANDS LÄN</t>
        </is>
      </c>
      <c r="G411" t="inlineStr">
        <is>
          <t>MOTALA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22920-2026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46160</v>
      </c>
      <c r="E412" s="1" t="n">
        <v>46216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16586-2023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45030</v>
      </c>
      <c r="E413" s="1" t="n">
        <v>46216</v>
      </c>
      <c r="F413" t="inlineStr">
        <is>
          <t>ÖSTERGÖTLANDS LÄN</t>
        </is>
      </c>
      <c r="G413" t="inlineStr">
        <is>
          <t>MOTALA</t>
        </is>
      </c>
      <c r="H413" t="inlineStr">
        <is>
          <t>Kyrkan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12643-2022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44641</v>
      </c>
      <c r="E414" s="1" t="n">
        <v>46216</v>
      </c>
      <c r="F414" t="inlineStr">
        <is>
          <t>ÖSTERGÖTLANDS LÄN</t>
        </is>
      </c>
      <c r="G414" t="inlineStr">
        <is>
          <t>MOTALA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60029-2021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46216</v>
      </c>
      <c r="F415" t="inlineStr">
        <is>
          <t>ÖSTERGÖTLANDS LÄN</t>
        </is>
      </c>
      <c r="G415" t="inlineStr">
        <is>
          <t>MOTALA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46216</v>
      </c>
      <c r="F416" t="inlineStr">
        <is>
          <t>ÖSTERGÖTLANDS LÄN</t>
        </is>
      </c>
      <c r="G416" t="inlineStr">
        <is>
          <t>MOTALA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62065-2023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46216</v>
      </c>
      <c r="F417" t="inlineStr">
        <is>
          <t>ÖSTERGÖTLANDS LÄN</t>
        </is>
      </c>
      <c r="G417" t="inlineStr">
        <is>
          <t>MOTALA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22831-2026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46216</v>
      </c>
      <c r="F418" t="inlineStr">
        <is>
          <t>ÖSTERGÖTLANDS LÄN</t>
        </is>
      </c>
      <c r="G418" t="inlineStr">
        <is>
          <t>MOTALA</t>
        </is>
      </c>
      <c r="H418" t="inlineStr">
        <is>
          <t>Holmen skog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22921-2026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46216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29128-2026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46216</v>
      </c>
      <c r="F420" t="inlineStr">
        <is>
          <t>ÖSTERGÖTLANDS LÄN</t>
        </is>
      </c>
      <c r="G420" t="inlineStr">
        <is>
          <t>MOTALA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22940-2026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46160</v>
      </c>
      <c r="E421" s="1" t="n">
        <v>46216</v>
      </c>
      <c r="F421" t="inlineStr">
        <is>
          <t>ÖSTERGÖTLANDS LÄN</t>
        </is>
      </c>
      <c r="G421" t="inlineStr">
        <is>
          <t>MOTALA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29736-2026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46204</v>
      </c>
      <c r="E422" s="1" t="n">
        <v>46216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23430-2026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46216</v>
      </c>
      <c r="F423" t="inlineStr">
        <is>
          <t>ÖSTERGÖTLANDS LÄN</t>
        </is>
      </c>
      <c r="G423" t="inlineStr">
        <is>
          <t>MOTALA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17543-2022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46216</v>
      </c>
      <c r="F424" t="inlineStr">
        <is>
          <t>ÖSTERGÖTLANDS LÄN</t>
        </is>
      </c>
      <c r="G424" t="inlineStr">
        <is>
          <t>MOTALA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31744-2022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44776</v>
      </c>
      <c r="E425" s="1" t="n">
        <v>46216</v>
      </c>
      <c r="F425" t="inlineStr">
        <is>
          <t>ÖSTERGÖTLANDS LÄN</t>
        </is>
      </c>
      <c r="G425" t="inlineStr">
        <is>
          <t>MOTALA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53322-2023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46216</v>
      </c>
      <c r="F426" t="inlineStr">
        <is>
          <t>ÖSTERGÖTLANDS LÄN</t>
        </is>
      </c>
      <c r="G426" t="inlineStr">
        <is>
          <t>MOTALA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47999-2023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46216</v>
      </c>
      <c r="F427" t="inlineStr">
        <is>
          <t>ÖSTERGÖTLANDS LÄN</t>
        </is>
      </c>
      <c r="G427" t="inlineStr">
        <is>
          <t>MOTALA</t>
        </is>
      </c>
      <c r="H427" t="inlineStr">
        <is>
          <t>Allmännings- och besparingsskogar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51638-2023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46216</v>
      </c>
      <c r="F428" t="inlineStr">
        <is>
          <t>ÖSTERGÖTLANDS LÄN</t>
        </is>
      </c>
      <c r="G428" t="inlineStr">
        <is>
          <t>MOTALA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24252-2022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44725</v>
      </c>
      <c r="E429" s="1" t="n">
        <v>46216</v>
      </c>
      <c r="F429" t="inlineStr">
        <is>
          <t>ÖSTERGÖTLANDS LÄN</t>
        </is>
      </c>
      <c r="G429" t="inlineStr">
        <is>
          <t>MOTALA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30115-2026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46216</v>
      </c>
      <c r="F430" t="inlineStr">
        <is>
          <t>ÖSTERGÖTLANDS LÄN</t>
        </is>
      </c>
      <c r="G430" t="inlineStr">
        <is>
          <t>MOTALA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40518-2022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46216</v>
      </c>
      <c r="F431" t="inlineStr">
        <is>
          <t>ÖSTERGÖTLANDS LÄN</t>
        </is>
      </c>
      <c r="G431" t="inlineStr">
        <is>
          <t>MOTALA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23839-2026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46216</v>
      </c>
      <c r="F432" t="inlineStr">
        <is>
          <t>ÖSTERGÖTLANDS LÄN</t>
        </is>
      </c>
      <c r="G432" t="inlineStr">
        <is>
          <t>MOTALA</t>
        </is>
      </c>
      <c r="H432" t="inlineStr">
        <is>
          <t>Holmen skog AB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41937-2022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44830</v>
      </c>
      <c r="E433" s="1" t="n">
        <v>46216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14924-2026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46216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41898-2022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44830</v>
      </c>
      <c r="E435" s="1" t="n">
        <v>46216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4873-2024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45329</v>
      </c>
      <c r="E436" s="1" t="n">
        <v>46216</v>
      </c>
      <c r="F436" t="inlineStr">
        <is>
          <t>ÖSTERGÖTLANDS LÄN</t>
        </is>
      </c>
      <c r="G436" t="inlineStr">
        <is>
          <t>MOTALA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44931</v>
      </c>
      <c r="E437" s="1" t="n">
        <v>46216</v>
      </c>
      <c r="F437" t="inlineStr">
        <is>
          <t>ÖSTERGÖTLANDS LÄN</t>
        </is>
      </c>
      <c r="G437" t="inlineStr">
        <is>
          <t>MOTALA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7034-2024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45343</v>
      </c>
      <c r="E438" s="1" t="n">
        <v>46216</v>
      </c>
      <c r="F438" t="inlineStr">
        <is>
          <t>ÖSTERGÖTLANDS LÄN</t>
        </is>
      </c>
      <c r="G438" t="inlineStr">
        <is>
          <t>MOTALA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26338-2023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45091</v>
      </c>
      <c r="E439" s="1" t="n">
        <v>46216</v>
      </c>
      <c r="F439" t="inlineStr">
        <is>
          <t>ÖSTERGÖTLANDS LÄN</t>
        </is>
      </c>
      <c r="G439" t="inlineStr">
        <is>
          <t>MOTALA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59570-2022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46216</v>
      </c>
      <c r="F440" t="inlineStr">
        <is>
          <t>ÖSTERGÖTLANDS LÄN</t>
        </is>
      </c>
      <c r="G440" t="inlineStr">
        <is>
          <t>MOTALA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53781-2024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45615</v>
      </c>
      <c r="E441" s="1" t="n">
        <v>46216</v>
      </c>
      <c r="F441" t="inlineStr">
        <is>
          <t>ÖSTERGÖTLANDS LÄN</t>
        </is>
      </c>
      <c r="G441" t="inlineStr">
        <is>
          <t>MOTALA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21309-2025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45781</v>
      </c>
      <c r="E442" s="1" t="n">
        <v>46216</v>
      </c>
      <c r="F442" t="inlineStr">
        <is>
          <t>ÖSTERGÖTLANDS LÄN</t>
        </is>
      </c>
      <c r="G442" t="inlineStr">
        <is>
          <t>MOTALA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8352-2025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46216</v>
      </c>
      <c r="F443" t="inlineStr">
        <is>
          <t>ÖSTERGÖTLANDS LÄN</t>
        </is>
      </c>
      <c r="G443" t="inlineStr">
        <is>
          <t>MOTALA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58678-2024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45632</v>
      </c>
      <c r="E444" s="1" t="n">
        <v>46216</v>
      </c>
      <c r="F444" t="inlineStr">
        <is>
          <t>ÖSTERGÖTLANDS LÄN</t>
        </is>
      </c>
      <c r="G444" t="inlineStr">
        <is>
          <t>MOTALA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46216</v>
      </c>
      <c r="F445" t="inlineStr">
        <is>
          <t>ÖSTERGÖTLANDS LÄN</t>
        </is>
      </c>
      <c r="G445" t="inlineStr">
        <is>
          <t>MOTALA</t>
        </is>
      </c>
      <c r="H445" t="inlineStr">
        <is>
          <t>Allmännings- och besparingsskogar</t>
        </is>
      </c>
      <c r="I445" t="n">
        <v>37.7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26606-2024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45469</v>
      </c>
      <c r="E446" s="1" t="n">
        <v>46216</v>
      </c>
      <c r="F446" t="inlineStr">
        <is>
          <t>ÖSTERGÖTLANDS LÄN</t>
        </is>
      </c>
      <c r="G446" t="inlineStr">
        <is>
          <t>MOTALA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48058-2024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46216</v>
      </c>
      <c r="F447" t="inlineStr">
        <is>
          <t>ÖSTERGÖTLANDS LÄN</t>
        </is>
      </c>
      <c r="G447" t="inlineStr">
        <is>
          <t>MOTALA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51728-2024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45604</v>
      </c>
      <c r="E448" s="1" t="n">
        <v>46216</v>
      </c>
      <c r="F448" t="inlineStr">
        <is>
          <t>ÖSTERGÖTLANDS LÄN</t>
        </is>
      </c>
      <c r="G448" t="inlineStr">
        <is>
          <t>MOTALA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51648-2023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45222</v>
      </c>
      <c r="E449" s="1" t="n">
        <v>46216</v>
      </c>
      <c r="F449" t="inlineStr">
        <is>
          <t>ÖSTERGÖTLANDS LÄN</t>
        </is>
      </c>
      <c r="G449" t="inlineStr">
        <is>
          <t>MOTALA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23757-2025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45793</v>
      </c>
      <c r="E450" s="1" t="n">
        <v>46216</v>
      </c>
      <c r="F450" t="inlineStr">
        <is>
          <t>ÖSTERGÖTLANDS LÄN</t>
        </is>
      </c>
      <c r="G450" t="inlineStr">
        <is>
          <t>MOTALA</t>
        </is>
      </c>
      <c r="H450" t="inlineStr">
        <is>
          <t>Allmännings- och besparingsskogar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45666</v>
      </c>
      <c r="E451" s="1" t="n">
        <v>46216</v>
      </c>
      <c r="F451" t="inlineStr">
        <is>
          <t>ÖSTERGÖTLANDS LÄN</t>
        </is>
      </c>
      <c r="G451" t="inlineStr">
        <is>
          <t>MOTALA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38881-2024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45547</v>
      </c>
      <c r="E452" s="1" t="n">
        <v>46216</v>
      </c>
      <c r="F452" t="inlineStr">
        <is>
          <t>ÖSTERGÖTLANDS LÄN</t>
        </is>
      </c>
      <c r="G452" t="inlineStr">
        <is>
          <t>MOTALA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57506-2024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46216</v>
      </c>
      <c r="F453" t="inlineStr">
        <is>
          <t>ÖSTERGÖTLANDS LÄN</t>
        </is>
      </c>
      <c r="G453" t="inlineStr">
        <is>
          <t>MOTALA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60669-2024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46216</v>
      </c>
      <c r="F454" t="inlineStr">
        <is>
          <t>ÖSTERGÖTLANDS LÄN</t>
        </is>
      </c>
      <c r="G454" t="inlineStr">
        <is>
          <t>MOTALA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57681-2024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46216</v>
      </c>
      <c r="F455" t="inlineStr">
        <is>
          <t>ÖSTERGÖTLANDS LÄN</t>
        </is>
      </c>
      <c r="G455" t="inlineStr">
        <is>
          <t>MOTALA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45689</v>
      </c>
      <c r="E456" s="1" t="n">
        <v>46216</v>
      </c>
      <c r="F456" t="inlineStr">
        <is>
          <t>ÖSTERGÖTLANDS LÄN</t>
        </is>
      </c>
      <c r="G456" t="inlineStr">
        <is>
          <t>MOTALA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24468-2025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46216</v>
      </c>
      <c r="F457" t="inlineStr">
        <is>
          <t>ÖSTERGÖTLANDS LÄN</t>
        </is>
      </c>
      <c r="G457" t="inlineStr">
        <is>
          <t>MOTALA</t>
        </is>
      </c>
      <c r="H457" t="inlineStr">
        <is>
          <t>Sveaskog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46216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46216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46216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46216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46216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46216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46216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46216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46216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46216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2026-07-13T14:51:12Z</dcterms:created>
  <dcterms:modified xmlns:dcterms="http://purl.org/dc/terms/" xmlns:xsi="http://www.w3.org/2001/XMLSchema-instance" xsi:type="dcterms:W3CDTF">2026-07-13T14:51:12Z</dcterms:modified>
</cp:coreProperties>
</file>