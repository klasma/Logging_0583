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46262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46262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46262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46262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46262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46262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46262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46262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46262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46262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46262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46262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46262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46262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46262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46262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46262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46262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46262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46262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46262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46262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46262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46262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46262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46262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46262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46262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46262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46262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30955-2023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46262</v>
      </c>
      <c r="F32" t="inlineStr">
        <is>
          <t>ÖSTERGÖTLANDS LÄN</t>
        </is>
      </c>
      <c r="G32" t="inlineStr">
        <is>
          <t>MOTALA</t>
        </is>
      </c>
      <c r="H32" t="inlineStr">
        <is>
          <t>Övriga statliga verk och myndigheter</t>
        </is>
      </c>
      <c r="I32" t="n">
        <v>7.5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Sparvuggla
Tjäder</t>
        </is>
      </c>
      <c r="W32">
        <f>HYPERLINK("https://klasma.github.io/Logging_0583/artfynd/A 30955-2023 artfynd.xlsx", "A 30955-2023")</f>
        <v/>
      </c>
      <c r="X32">
        <f>HYPERLINK("https://klasma.github.io/Logging_0583/kartor/A 30955-2023 karta.png", "A 30955-2023")</f>
        <v/>
      </c>
      <c r="Y32">
        <f>HYPERLINK("https://klasma.github.io/Logging_0583/kartor_geotiff/A 30955-2023 georefererad karta.tif", "A 30955-2023")</f>
        <v/>
      </c>
      <c r="AA32">
        <f>HYPERLINK("https://klasma.github.io/Logging_0583/klagomål/A 30955-2023 FSC-klagomål.docx", "A 30955-2023")</f>
        <v/>
      </c>
      <c r="AB32">
        <f>HYPERLINK("https://klasma.github.io/Logging_0583/klagomålsmail/A 30955-2023 FSC-klagomål mail.docx", "A 30955-2023")</f>
        <v/>
      </c>
      <c r="AC32">
        <f>HYPERLINK("https://klasma.github.io/Logging_0583/tillsyn/A 30955-2023 tillsynsbegäran.docx", "A 30955-2023")</f>
        <v/>
      </c>
      <c r="AD32">
        <f>HYPERLINK("https://klasma.github.io/Logging_0583/tillsynsmail/A 30955-2023 tillsynsbegäran mail.docx", "A 30955-2023")</f>
        <v/>
      </c>
      <c r="AE32">
        <f>HYPERLINK("https://klasma.github.io/Logging_0583/fåglar/A 30955-2023 prioriterade fågelarter.docx", "A 30955-2023")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46262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46262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46262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46262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12609-2025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46262</v>
      </c>
      <c r="F37" t="inlineStr">
        <is>
          <t>ÖSTERGÖTLANDS LÄN</t>
        </is>
      </c>
      <c r="G37" t="inlineStr">
        <is>
          <t>MOTALA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HYPERLINK("https://klasma.github.io/Logging_0583/artfynd/A 12609-2025 artfynd.xlsx", "A 12609-2025")</f>
        <v/>
      </c>
      <c r="X37">
        <f>HYPERLINK("https://klasma.github.io/Logging_0583/kartor/A 12609-2025 karta.png", "A 12609-2025")</f>
        <v/>
      </c>
      <c r="Y37">
        <f>HYPERLINK("https://klasma.github.io/Logging_0583/kartor_geotiff/A 12609-2025 georefererad karta.tif", "A 12609-2025")</f>
        <v/>
      </c>
      <c r="AA37">
        <f>HYPERLINK("https://klasma.github.io/Logging_0583/klagomål/A 12609-2025 FSC-klagomål.docx", "A 12609-2025")</f>
        <v/>
      </c>
      <c r="AB37">
        <f>HYPERLINK("https://klasma.github.io/Logging_0583/klagomålsmail/A 12609-2025 FSC-klagomål mail.docx", "A 12609-2025")</f>
        <v/>
      </c>
      <c r="AC37">
        <f>HYPERLINK("https://klasma.github.io/Logging_0583/tillsyn/A 12609-2025 tillsynsbegäran.docx", "A 12609-2025")</f>
        <v/>
      </c>
      <c r="AD37">
        <f>HYPERLINK("https://klasma.github.io/Logging_0583/tillsynsmail/A 12609-2025 tillsynsbegäran mail.docx", "A 12609-2025")</f>
        <v/>
      </c>
    </row>
    <row r="38" ht="15" customHeight="1">
      <c r="A38" t="inlineStr">
        <is>
          <t>A 50749-2024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46262</v>
      </c>
      <c r="F38" t="inlineStr">
        <is>
          <t>ÖSTERGÖTLANDS LÄN</t>
        </is>
      </c>
      <c r="G38" t="inlineStr">
        <is>
          <t>MOTALA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HYPERLINK("https://klasma.github.io/Logging_0583/artfynd/A 50749-2024 artfynd.xlsx", "A 50749-2024")</f>
        <v/>
      </c>
      <c r="X38">
        <f>HYPERLINK("https://klasma.github.io/Logging_0583/kartor/A 50749-2024 karta.png", "A 50749-2024")</f>
        <v/>
      </c>
      <c r="Y38">
        <f>HYPERLINK("https://klasma.github.io/Logging_0583/kartor_geotiff/A 50749-2024 georefererad karta.tif", "A 50749-2024")</f>
        <v/>
      </c>
      <c r="AA38">
        <f>HYPERLINK("https://klasma.github.io/Logging_0583/klagomål/A 50749-2024 FSC-klagomål.docx", "A 50749-2024")</f>
        <v/>
      </c>
      <c r="AB38">
        <f>HYPERLINK("https://klasma.github.io/Logging_0583/klagomålsmail/A 50749-2024 FSC-klagomål mail.docx", "A 50749-2024")</f>
        <v/>
      </c>
      <c r="AC38">
        <f>HYPERLINK("https://klasma.github.io/Logging_0583/tillsyn/A 50749-2024 tillsynsbegäran.docx", "A 50749-2024")</f>
        <v/>
      </c>
      <c r="AD38">
        <f>HYPERLINK("https://klasma.github.io/Logging_0583/tillsynsmail/A 50749-2024 tillsynsbegäran mail.docx", "A 50749-2024")</f>
        <v/>
      </c>
    </row>
    <row r="39" ht="15" customHeight="1">
      <c r="A39" t="inlineStr">
        <is>
          <t>A 24686-2024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45460</v>
      </c>
      <c r="E39" s="1" t="n">
        <v>46262</v>
      </c>
      <c r="F39" t="inlineStr">
        <is>
          <t>ÖSTERGÖTLANDS LÄN</t>
        </is>
      </c>
      <c r="G39" t="inlineStr">
        <is>
          <t>MOTALA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HYPERLINK("https://klasma.github.io/Logging_0583/artfynd/A 24686-2024 artfynd.xlsx", "A 24686-2024")</f>
        <v/>
      </c>
      <c r="X39">
        <f>HYPERLINK("https://klasma.github.io/Logging_0583/kartor/A 24686-2024 karta.png", "A 24686-2024")</f>
        <v/>
      </c>
      <c r="Y39">
        <f>HYPERLINK("https://klasma.github.io/Logging_0583/kartor_geotiff/A 24686-2024 georefererad karta.tif", "A 24686-2024")</f>
        <v/>
      </c>
      <c r="AA39">
        <f>HYPERLINK("https://klasma.github.io/Logging_0583/klagomål/A 24686-2024 FSC-klagomål.docx", "A 24686-2024")</f>
        <v/>
      </c>
      <c r="AB39">
        <f>HYPERLINK("https://klasma.github.io/Logging_0583/klagomålsmail/A 24686-2024 FSC-klagomål mail.docx", "A 24686-2024")</f>
        <v/>
      </c>
      <c r="AC39">
        <f>HYPERLINK("https://klasma.github.io/Logging_0583/tillsyn/A 24686-2024 tillsynsbegäran.docx", "A 24686-2024")</f>
        <v/>
      </c>
      <c r="AD39">
        <f>HYPERLINK("https://klasma.github.io/Logging_0583/tillsynsmail/A 24686-2024 tillsynsbegäran mail.docx", "A 24686-2024")</f>
        <v/>
      </c>
    </row>
    <row r="40" ht="15" customHeight="1">
      <c r="A40" t="inlineStr">
        <is>
          <t>A 13690-2024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46262</v>
      </c>
      <c r="F40" t="inlineStr">
        <is>
          <t>ÖSTERGÖTLANDS LÄN</t>
        </is>
      </c>
      <c r="G40" t="inlineStr">
        <is>
          <t>MOTALA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HYPERLINK("https://klasma.github.io/Logging_0583/artfynd/A 13690-2024 artfynd.xlsx", "A 13690-2024")</f>
        <v/>
      </c>
      <c r="X40">
        <f>HYPERLINK("https://klasma.github.io/Logging_0583/kartor/A 13690-2024 karta.png", "A 13690-2024")</f>
        <v/>
      </c>
      <c r="Y40">
        <f>HYPERLINK("https://klasma.github.io/Logging_0583/kartor_geotiff/A 13690-2024 georefererad karta.tif", "A 13690-2024")</f>
        <v/>
      </c>
      <c r="AA40">
        <f>HYPERLINK("https://klasma.github.io/Logging_0583/klagomål/A 13690-2024 FSC-klagomål.docx", "A 13690-2024")</f>
        <v/>
      </c>
      <c r="AB40">
        <f>HYPERLINK("https://klasma.github.io/Logging_0583/klagomålsmail/A 13690-2024 FSC-klagomål mail.docx", "A 13690-2024")</f>
        <v/>
      </c>
      <c r="AC40">
        <f>HYPERLINK("https://klasma.github.io/Logging_0583/tillsyn/A 13690-2024 tillsynsbegäran.docx", "A 13690-2024")</f>
        <v/>
      </c>
      <c r="AD40">
        <f>HYPERLINK("https://klasma.github.io/Logging_0583/tillsynsmail/A 13690-2024 tillsynsbegäran mail.docx", "A 13690-2024")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46262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21991-2023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46262</v>
      </c>
      <c r="F42" t="inlineStr">
        <is>
          <t>ÖSTERGÖTLANDS LÄN</t>
        </is>
      </c>
      <c r="G42" t="inlineStr">
        <is>
          <t>MOTALA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HYPERLINK("https://klasma.github.io/Logging_0583/artfynd/A 21991-2023 artfynd.xlsx", "A 21991-2023")</f>
        <v/>
      </c>
      <c r="X42">
        <f>HYPERLINK("https://klasma.github.io/Logging_0583/kartor/A 21991-2023 karta.png", "A 21991-2023")</f>
        <v/>
      </c>
      <c r="Y42">
        <f>HYPERLINK("https://klasma.github.io/Logging_0583/kartor_geotiff/A 21991-2023 georefererad karta.tif", "A 21991-2023")</f>
        <v/>
      </c>
      <c r="AA42">
        <f>HYPERLINK("https://klasma.github.io/Logging_0583/klagomål/A 21991-2023 FSC-klagomål.docx", "A 21991-2023")</f>
        <v/>
      </c>
      <c r="AB42">
        <f>HYPERLINK("https://klasma.github.io/Logging_0583/klagomålsmail/A 21991-2023 FSC-klagomål mail.docx", "A 21991-2023")</f>
        <v/>
      </c>
      <c r="AC42">
        <f>HYPERLINK("https://klasma.github.io/Logging_0583/tillsyn/A 21991-2023 tillsynsbegäran.docx", "A 21991-2023")</f>
        <v/>
      </c>
      <c r="AD42">
        <f>HYPERLINK("https://klasma.github.io/Logging_0583/tillsynsmail/A 21991-2023 tillsynsbegäran mail.docx", "A 21991-2023")</f>
        <v/>
      </c>
    </row>
    <row r="43" ht="15" customHeight="1">
      <c r="A43" t="inlineStr">
        <is>
          <t>A 17739-2026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46122</v>
      </c>
      <c r="E43" s="1" t="n">
        <v>46262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HYPERLINK("https://klasma.github.io/Logging_0583/artfynd/A 17739-2026 artfynd.xlsx", "A 17739-2026")</f>
        <v/>
      </c>
      <c r="X43">
        <f>HYPERLINK("https://klasma.github.io/Logging_0583/kartor/A 17739-2026 karta.png", "A 17739-2026")</f>
        <v/>
      </c>
      <c r="Y43">
        <f>HYPERLINK("https://klasma.github.io/Logging_0583/kartor_geotiff/A 17739-2026 georefererad karta.tif", "A 17739-2026")</f>
        <v/>
      </c>
      <c r="AA43">
        <f>HYPERLINK("https://klasma.github.io/Logging_0583/klagomål/A 17739-2026 FSC-klagomål.docx", "A 17739-2026")</f>
        <v/>
      </c>
      <c r="AB43">
        <f>HYPERLINK("https://klasma.github.io/Logging_0583/klagomålsmail/A 17739-2026 FSC-klagomål mail.docx", "A 17739-2026")</f>
        <v/>
      </c>
      <c r="AC43">
        <f>HYPERLINK("https://klasma.github.io/Logging_0583/tillsyn/A 17739-2026 tillsynsbegäran.docx", "A 17739-2026")</f>
        <v/>
      </c>
      <c r="AD43">
        <f>HYPERLINK("https://klasma.github.io/Logging_0583/tillsynsmail/A 17739-2026 tillsynsbegäran mail.docx", "A 17739-2026")</f>
        <v/>
      </c>
      <c r="AE43">
        <f>HYPERLINK("https://klasma.github.io/Logging_0583/fåglar/A 17739-2026 prioriterade fågelarter.docx", "A 17739-2026")</f>
        <v/>
      </c>
    </row>
    <row r="44" ht="15" customHeight="1">
      <c r="A44" t="inlineStr">
        <is>
          <t>A 17740-2026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46262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HYPERLINK("https://klasma.github.io/Logging_0583/artfynd/A 17740-2026 artfynd.xlsx", "A 17740-2026")</f>
        <v/>
      </c>
      <c r="X44">
        <f>HYPERLINK("https://klasma.github.io/Logging_0583/kartor/A 17740-2026 karta.png", "A 17740-2026")</f>
        <v/>
      </c>
      <c r="Y44">
        <f>HYPERLINK("https://klasma.github.io/Logging_0583/kartor_geotiff/A 17740-2026 georefererad karta.tif", "A 17740-2026")</f>
        <v/>
      </c>
      <c r="AA44">
        <f>HYPERLINK("https://klasma.github.io/Logging_0583/klagomål/A 17740-2026 FSC-klagomål.docx", "A 17740-2026")</f>
        <v/>
      </c>
      <c r="AB44">
        <f>HYPERLINK("https://klasma.github.io/Logging_0583/klagomålsmail/A 17740-2026 FSC-klagomål mail.docx", "A 17740-2026")</f>
        <v/>
      </c>
      <c r="AC44">
        <f>HYPERLINK("https://klasma.github.io/Logging_0583/tillsyn/A 17740-2026 tillsynsbegäran.docx", "A 17740-2026")</f>
        <v/>
      </c>
      <c r="AD44">
        <f>HYPERLINK("https://klasma.github.io/Logging_0583/tillsynsmail/A 17740-2026 tillsynsbegäran mail.docx", "A 17740-2026")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46262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2194-2023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44942</v>
      </c>
      <c r="E46" s="1" t="n">
        <v>46262</v>
      </c>
      <c r="F46" t="inlineStr">
        <is>
          <t>ÖSTERGÖTLANDS LÄN</t>
        </is>
      </c>
      <c r="G46" t="inlineStr">
        <is>
          <t>MOTALA</t>
        </is>
      </c>
      <c r="I46" t="n">
        <v>3.9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Fiskgjuse</t>
        </is>
      </c>
      <c r="W46">
        <f>HYPERLINK("https://klasma.github.io/Logging_0583/artfynd/A 2194-2023 artfynd.xlsx", "A 2194-2023")</f>
        <v/>
      </c>
      <c r="X46">
        <f>HYPERLINK("https://klasma.github.io/Logging_0583/kartor/A 2194-2023 karta.png", "A 2194-2023")</f>
        <v/>
      </c>
      <c r="Y46">
        <f>HYPERLINK("https://klasma.github.io/Logging_0583/kartor_geotiff/A 2194-2023 georefererad karta.tif", "A 2194-2023")</f>
        <v/>
      </c>
      <c r="AA46">
        <f>HYPERLINK("https://klasma.github.io/Logging_0583/klagomål/A 2194-2023 FSC-klagomål.docx", "A 2194-2023")</f>
        <v/>
      </c>
      <c r="AB46">
        <f>HYPERLINK("https://klasma.github.io/Logging_0583/klagomålsmail/A 2194-2023 FSC-klagomål mail.docx", "A 2194-2023")</f>
        <v/>
      </c>
      <c r="AC46">
        <f>HYPERLINK("https://klasma.github.io/Logging_0583/tillsyn/A 2194-2023 tillsynsbegäran.docx", "A 2194-2023")</f>
        <v/>
      </c>
      <c r="AD46">
        <f>HYPERLINK("https://klasma.github.io/Logging_0583/tillsynsmail/A 2194-2023 tillsynsbegäran mail.docx", "A 2194-2023")</f>
        <v/>
      </c>
      <c r="AE46">
        <f>HYPERLINK("https://klasma.github.io/Logging_0583/fåglar/A 2194-2023 prioriterade fågelarter.docx", "A 2194-2023")</f>
        <v/>
      </c>
    </row>
    <row r="47" ht="15" customHeight="1">
      <c r="A47" t="inlineStr">
        <is>
          <t>A 24554-2025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46262</v>
      </c>
      <c r="F47" t="inlineStr">
        <is>
          <t>ÖSTERGÖTLANDS LÄN</t>
        </is>
      </c>
      <c r="G47" t="inlineStr">
        <is>
          <t>MOTALA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HYPERLINK("https://klasma.github.io/Logging_0583/artfynd/A 24554-2025 artfynd.xlsx", "A 24554-2025")</f>
        <v/>
      </c>
      <c r="X47">
        <f>HYPERLINK("https://klasma.github.io/Logging_0583/kartor/A 24554-2025 karta.png", "A 24554-2025")</f>
        <v/>
      </c>
      <c r="Y47">
        <f>HYPERLINK("https://klasma.github.io/Logging_0583/kartor_geotiff/A 24554-2025 georefererad karta.tif", "A 24554-2025")</f>
        <v/>
      </c>
      <c r="AA47">
        <f>HYPERLINK("https://klasma.github.io/Logging_0583/klagomål/A 24554-2025 FSC-klagomål.docx", "A 24554-2025")</f>
        <v/>
      </c>
      <c r="AB47">
        <f>HYPERLINK("https://klasma.github.io/Logging_0583/klagomålsmail/A 24554-2025 FSC-klagomål mail.docx", "A 24554-2025")</f>
        <v/>
      </c>
      <c r="AC47">
        <f>HYPERLINK("https://klasma.github.io/Logging_0583/tillsyn/A 24554-2025 tillsynsbegäran.docx", "A 24554-2025")</f>
        <v/>
      </c>
      <c r="AD47">
        <f>HYPERLINK("https://klasma.github.io/Logging_0583/tillsynsmail/A 24554-2025 tillsynsbegäran mail.docx", "A 24554-2025")</f>
        <v/>
      </c>
    </row>
    <row r="48" ht="15" customHeight="1">
      <c r="A48" t="inlineStr">
        <is>
          <t>A 18729-2025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45763</v>
      </c>
      <c r="E48" s="1" t="n">
        <v>46262</v>
      </c>
      <c r="F48" t="inlineStr">
        <is>
          <t>ÖSTERGÖTLANDS LÄN</t>
        </is>
      </c>
      <c r="G48" t="inlineStr">
        <is>
          <t>MOTALA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18729-2025 artfynd.xlsx", "A 18729-2025")</f>
        <v/>
      </c>
      <c r="X48">
        <f>HYPERLINK("https://klasma.github.io/Logging_0583/kartor/A 18729-2025 karta.png", "A 18729-2025")</f>
        <v/>
      </c>
      <c r="Y48">
        <f>HYPERLINK("https://klasma.github.io/Logging_0583/kartor_geotiff/A 18729-2025 georefererad karta.tif", "A 18729-2025")</f>
        <v/>
      </c>
      <c r="AA48">
        <f>HYPERLINK("https://klasma.github.io/Logging_0583/klagomål/A 18729-2025 FSC-klagomål.docx", "A 18729-2025")</f>
        <v/>
      </c>
      <c r="AB48">
        <f>HYPERLINK("https://klasma.github.io/Logging_0583/klagomålsmail/A 18729-2025 FSC-klagomål mail.docx", "A 18729-2025")</f>
        <v/>
      </c>
      <c r="AC48">
        <f>HYPERLINK("https://klasma.github.io/Logging_0583/tillsyn/A 18729-2025 tillsynsbegäran.docx", "A 18729-2025")</f>
        <v/>
      </c>
      <c r="AD48">
        <f>HYPERLINK("https://klasma.github.io/Logging_0583/tillsynsmail/A 18729-2025 tillsynsbegäran mail.docx", "A 18729-2025")</f>
        <v/>
      </c>
    </row>
    <row r="49" ht="15" customHeight="1">
      <c r="A49" t="inlineStr">
        <is>
          <t>A 52523-2022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44874</v>
      </c>
      <c r="E49" s="1" t="n">
        <v>46262</v>
      </c>
      <c r="F49" t="inlineStr">
        <is>
          <t>ÖSTERGÖTLANDS LÄN</t>
        </is>
      </c>
      <c r="G49" t="inlineStr">
        <is>
          <t>MOTALA</t>
        </is>
      </c>
      <c r="H49" t="inlineStr">
        <is>
          <t>Kyrkan</t>
        </is>
      </c>
      <c r="I49" t="n">
        <v>6.7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HYPERLINK("https://klasma.github.io/Logging_0583/artfynd/A 52523-2022 artfynd.xlsx", "A 52523-2022")</f>
        <v/>
      </c>
      <c r="X49">
        <f>HYPERLINK("https://klasma.github.io/Logging_0583/kartor/A 52523-2022 karta.png", "A 52523-2022")</f>
        <v/>
      </c>
      <c r="Y49">
        <f>HYPERLINK("https://klasma.github.io/Logging_0583/kartor_geotiff/A 52523-2022 georefererad karta.tif", "A 52523-2022")</f>
        <v/>
      </c>
      <c r="AA49">
        <f>HYPERLINK("https://klasma.github.io/Logging_0583/klagomål/A 52523-2022 FSC-klagomål.docx", "A 52523-2022")</f>
        <v/>
      </c>
      <c r="AB49">
        <f>HYPERLINK("https://klasma.github.io/Logging_0583/klagomålsmail/A 52523-2022 FSC-klagomål mail.docx", "A 52523-2022")</f>
        <v/>
      </c>
      <c r="AC49">
        <f>HYPERLINK("https://klasma.github.io/Logging_0583/tillsyn/A 52523-2022 tillsynsbegäran.docx", "A 52523-2022")</f>
        <v/>
      </c>
      <c r="AD49">
        <f>HYPERLINK("https://klasma.github.io/Logging_0583/tillsynsmail/A 52523-2022 tillsynsbegäran mail.docx", "A 52523-2022")</f>
        <v/>
      </c>
    </row>
    <row r="50" ht="15" customHeight="1">
      <c r="A50" t="inlineStr">
        <is>
          <t>A 27907-2026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46262</v>
      </c>
      <c r="F50" t="inlineStr">
        <is>
          <t>ÖSTERGÖTLANDS LÄN</t>
        </is>
      </c>
      <c r="G50" t="inlineStr">
        <is>
          <t>MOTALA</t>
        </is>
      </c>
      <c r="H50" t="inlineStr">
        <is>
          <t>Holmen skog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HYPERLINK("https://klasma.github.io/Logging_0583/artfynd/A 27907-2026 artfynd.xlsx", "A 27907-2026")</f>
        <v/>
      </c>
      <c r="X50">
        <f>HYPERLINK("https://klasma.github.io/Logging_0583/kartor/A 27907-2026 karta.png", "A 27907-2026")</f>
        <v/>
      </c>
      <c r="Y50">
        <f>HYPERLINK("https://klasma.github.io/Logging_0583/kartor_geotiff/A 27907-2026 georefererad karta.tif", "A 27907-2026")</f>
        <v/>
      </c>
      <c r="AA50">
        <f>HYPERLINK("https://klasma.github.io/Logging_0583/klagomål/A 27907-2026 FSC-klagomål.docx", "A 27907-2026")</f>
        <v/>
      </c>
      <c r="AB50">
        <f>HYPERLINK("https://klasma.github.io/Logging_0583/klagomålsmail/A 27907-2026 FSC-klagomål mail.docx", "A 27907-2026")</f>
        <v/>
      </c>
      <c r="AC50">
        <f>HYPERLINK("https://klasma.github.io/Logging_0583/tillsyn/A 27907-2026 tillsynsbegäran.docx", "A 27907-2026")</f>
        <v/>
      </c>
      <c r="AD50">
        <f>HYPERLINK("https://klasma.github.io/Logging_0583/tillsynsmail/A 27907-2026 tillsynsbegäran mail.docx", "A 27907-2026")</f>
        <v/>
      </c>
      <c r="AE50">
        <f>HYPERLINK("https://klasma.github.io/Logging_0583/fåglar/A 27907-2026 prioriterade fågelarter.docx", "A 27907-2026")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46262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46262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46262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46262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46262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57981-2021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46262</v>
      </c>
      <c r="F56" t="inlineStr">
        <is>
          <t>ÖSTERGÖTLANDS LÄN</t>
        </is>
      </c>
      <c r="G56" t="inlineStr">
        <is>
          <t>MOTALA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44572</v>
      </c>
      <c r="E57" s="1" t="n">
        <v>46262</v>
      </c>
      <c r="F57" t="inlineStr">
        <is>
          <t>ÖSTERGÖTLANDS LÄN</t>
        </is>
      </c>
      <c r="G57" t="inlineStr">
        <is>
          <t>MOTALA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46262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46262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46262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46262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46262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46262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46262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46262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46262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46262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46262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46262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46262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46262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46262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46262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46262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46262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44452</v>
      </c>
      <c r="E76" s="1" t="n">
        <v>46262</v>
      </c>
      <c r="F76" t="inlineStr">
        <is>
          <t>ÖSTERGÖTLANDS LÄN</t>
        </is>
      </c>
      <c r="G76" t="inlineStr">
        <is>
          <t>MOTALA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23886-2022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44722</v>
      </c>
      <c r="E77" s="1" t="n">
        <v>46262</v>
      </c>
      <c r="F77" t="inlineStr">
        <is>
          <t>ÖSTERGÖTLANDS LÄN</t>
        </is>
      </c>
      <c r="G77" t="inlineStr">
        <is>
          <t>MOTALA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46262</v>
      </c>
      <c r="F78" t="inlineStr">
        <is>
          <t>ÖSTERGÖTLANDS LÄN</t>
        </is>
      </c>
      <c r="G78" t="inlineStr">
        <is>
          <t>MOTALA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46262</v>
      </c>
      <c r="F79" t="inlineStr">
        <is>
          <t>ÖSTERGÖTLANDS LÄN</t>
        </is>
      </c>
      <c r="G79" t="inlineStr">
        <is>
          <t>MOTALA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46262</v>
      </c>
      <c r="F80" t="inlineStr">
        <is>
          <t>ÖSTERGÖTLANDS LÄN</t>
        </is>
      </c>
      <c r="G80" t="inlineStr">
        <is>
          <t>MOTALA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46262</v>
      </c>
      <c r="F81" t="inlineStr">
        <is>
          <t>ÖSTERGÖTLANDS LÄN</t>
        </is>
      </c>
      <c r="G81" t="inlineStr">
        <is>
          <t>MOTALA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46262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46262</v>
      </c>
      <c r="F83" t="inlineStr">
        <is>
          <t>ÖSTERGÖTLANDS LÄN</t>
        </is>
      </c>
      <c r="G83" t="inlineStr">
        <is>
          <t>MOTALA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46262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46262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46262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46262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46262</v>
      </c>
      <c r="F88" t="inlineStr">
        <is>
          <t>ÖSTERGÖTLANDS LÄN</t>
        </is>
      </c>
      <c r="G88" t="inlineStr">
        <is>
          <t>MOTALA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46958-2021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44446</v>
      </c>
      <c r="E89" s="1" t="n">
        <v>46262</v>
      </c>
      <c r="F89" t="inlineStr">
        <is>
          <t>ÖSTERGÖTLANDS LÄN</t>
        </is>
      </c>
      <c r="G89" t="inlineStr">
        <is>
          <t>MOTALA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46262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44617</v>
      </c>
      <c r="E91" s="1" t="n">
        <v>46262</v>
      </c>
      <c r="F91" t="inlineStr">
        <is>
          <t>ÖSTERGÖTLANDS LÄN</t>
        </is>
      </c>
      <c r="G91" t="inlineStr">
        <is>
          <t>MOTALA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46262</v>
      </c>
      <c r="F92" t="inlineStr">
        <is>
          <t>ÖSTERGÖTLANDS LÄN</t>
        </is>
      </c>
      <c r="G92" t="inlineStr">
        <is>
          <t>MOTALA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46262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46262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46262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46262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46262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46262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46262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46262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46262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46262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46262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46262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46262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46262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46262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46262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46262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46262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46262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46262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46262</v>
      </c>
      <c r="F113" t="inlineStr">
        <is>
          <t>ÖSTERGÖTLANDS LÄN</t>
        </is>
      </c>
      <c r="G113" t="inlineStr">
        <is>
          <t>MOTALA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46262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46262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46262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46262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46262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46262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46262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46262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46262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46262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46262</v>
      </c>
      <c r="F124" t="inlineStr">
        <is>
          <t>ÖSTERGÖTLANDS LÄN</t>
        </is>
      </c>
      <c r="G124" t="inlineStr">
        <is>
          <t>MOTALA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46262</v>
      </c>
      <c r="F125" t="inlineStr">
        <is>
          <t>ÖSTERGÖTLANDS LÄN</t>
        </is>
      </c>
      <c r="G125" t="inlineStr">
        <is>
          <t>MOTALA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46262</v>
      </c>
      <c r="F126" t="inlineStr">
        <is>
          <t>ÖSTERGÖTLANDS LÄN</t>
        </is>
      </c>
      <c r="G126" t="inlineStr">
        <is>
          <t>MOTALA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45781</v>
      </c>
      <c r="E127" s="1" t="n">
        <v>46262</v>
      </c>
      <c r="F127" t="inlineStr">
        <is>
          <t>ÖSTERGÖTLANDS LÄN</t>
        </is>
      </c>
      <c r="G127" t="inlineStr">
        <is>
          <t>MOTALA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46262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46262</v>
      </c>
      <c r="F129" t="inlineStr">
        <is>
          <t>ÖSTERGÖTLANDS LÄN</t>
        </is>
      </c>
      <c r="G129" t="inlineStr">
        <is>
          <t>MOTALA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46262</v>
      </c>
      <c r="F130" t="inlineStr">
        <is>
          <t>ÖSTERGÖTLANDS LÄN</t>
        </is>
      </c>
      <c r="G130" t="inlineStr">
        <is>
          <t>MOTALA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46262</v>
      </c>
      <c r="F131" t="inlineStr">
        <is>
          <t>ÖSTERGÖTLANDS LÄN</t>
        </is>
      </c>
      <c r="G131" t="inlineStr">
        <is>
          <t>MOTALA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45454</v>
      </c>
      <c r="E132" s="1" t="n">
        <v>46262</v>
      </c>
      <c r="F132" t="inlineStr">
        <is>
          <t>ÖSTERGÖTLANDS LÄN</t>
        </is>
      </c>
      <c r="G132" t="inlineStr">
        <is>
          <t>MOTALA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46262</v>
      </c>
      <c r="F133" t="inlineStr">
        <is>
          <t>ÖSTERGÖTLANDS LÄN</t>
        </is>
      </c>
      <c r="G133" t="inlineStr">
        <is>
          <t>MOTALA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46262</v>
      </c>
      <c r="F134" t="inlineStr">
        <is>
          <t>ÖSTERGÖTLANDS LÄN</t>
        </is>
      </c>
      <c r="G134" t="inlineStr">
        <is>
          <t>MOTALA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46262</v>
      </c>
      <c r="F135" t="inlineStr">
        <is>
          <t>ÖSTERGÖTLANDS LÄN</t>
        </is>
      </c>
      <c r="G135" t="inlineStr">
        <is>
          <t>MOTALA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46262</v>
      </c>
      <c r="F136" t="inlineStr">
        <is>
          <t>ÖSTERGÖTLANDS LÄN</t>
        </is>
      </c>
      <c r="G136" t="inlineStr">
        <is>
          <t>MOTALA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46262</v>
      </c>
      <c r="F137" t="inlineStr">
        <is>
          <t>ÖSTERGÖTLANDS LÄN</t>
        </is>
      </c>
      <c r="G137" t="inlineStr">
        <is>
          <t>MOTALA</t>
        </is>
      </c>
      <c r="H137" t="inlineStr">
        <is>
          <t>Allmännings- och besparingsskogar</t>
        </is>
      </c>
      <c r="I137" t="n">
        <v>37.7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45469</v>
      </c>
      <c r="E138" s="1" t="n">
        <v>46262</v>
      </c>
      <c r="F138" t="inlineStr">
        <is>
          <t>ÖSTERGÖTLANDS LÄN</t>
        </is>
      </c>
      <c r="G138" t="inlineStr">
        <is>
          <t>MOTALA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48058-2024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45589</v>
      </c>
      <c r="E139" s="1" t="n">
        <v>46262</v>
      </c>
      <c r="F139" t="inlineStr">
        <is>
          <t>ÖSTERGÖTLANDS LÄN</t>
        </is>
      </c>
      <c r="G139" t="inlineStr">
        <is>
          <t>MOTALA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45604</v>
      </c>
      <c r="E140" s="1" t="n">
        <v>46262</v>
      </c>
      <c r="F140" t="inlineStr">
        <is>
          <t>ÖSTERGÖTLANDS LÄN</t>
        </is>
      </c>
      <c r="G140" t="inlineStr">
        <is>
          <t>MOTALA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45114</v>
      </c>
      <c r="E141" s="1" t="n">
        <v>46262</v>
      </c>
      <c r="F141" t="inlineStr">
        <is>
          <t>ÖSTERGÖTLANDS LÄN</t>
        </is>
      </c>
      <c r="G141" t="inlineStr">
        <is>
          <t>MOTALA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46262</v>
      </c>
      <c r="F142" t="inlineStr">
        <is>
          <t>ÖSTERGÖTLANDS LÄN</t>
        </is>
      </c>
      <c r="G142" t="inlineStr">
        <is>
          <t>MOTALA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46262</v>
      </c>
      <c r="F143" t="inlineStr">
        <is>
          <t>ÖSTERGÖTLANDS LÄN</t>
        </is>
      </c>
      <c r="G143" t="inlineStr">
        <is>
          <t>MOTALA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46262</v>
      </c>
      <c r="F144" t="inlineStr">
        <is>
          <t>ÖSTERGÖTLANDS LÄN</t>
        </is>
      </c>
      <c r="G144" t="inlineStr">
        <is>
          <t>MOTALA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45666</v>
      </c>
      <c r="E145" s="1" t="n">
        <v>46262</v>
      </c>
      <c r="F145" t="inlineStr">
        <is>
          <t>ÖSTERGÖTLANDS LÄN</t>
        </is>
      </c>
      <c r="G145" t="inlineStr">
        <is>
          <t>MOTALA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45547</v>
      </c>
      <c r="E146" s="1" t="n">
        <v>46262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46262</v>
      </c>
      <c r="F147" t="inlineStr">
        <is>
          <t>ÖSTERGÖTLANDS LÄN</t>
        </is>
      </c>
      <c r="G147" t="inlineStr">
        <is>
          <t>MOTALA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44566</v>
      </c>
      <c r="E148" s="1" t="n">
        <v>46262</v>
      </c>
      <c r="F148" t="inlineStr">
        <is>
          <t>ÖSTERGÖTLANDS LÄN</t>
        </is>
      </c>
      <c r="G148" t="inlineStr">
        <is>
          <t>MOTALA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46262</v>
      </c>
      <c r="F149" t="inlineStr">
        <is>
          <t>ÖSTERGÖTLANDS LÄN</t>
        </is>
      </c>
      <c r="G149" t="inlineStr">
        <is>
          <t>MOTALA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46262</v>
      </c>
      <c r="F150" t="inlineStr">
        <is>
          <t>ÖSTERGÖTLANDS LÄN</t>
        </is>
      </c>
      <c r="G150" t="inlineStr">
        <is>
          <t>MOTALA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46262</v>
      </c>
      <c r="F151" t="inlineStr">
        <is>
          <t>ÖSTERGÖTLANDS LÄN</t>
        </is>
      </c>
      <c r="G151" t="inlineStr">
        <is>
          <t>MOTALA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45689</v>
      </c>
      <c r="E152" s="1" t="n">
        <v>46262</v>
      </c>
      <c r="F152" t="inlineStr">
        <is>
          <t>ÖSTERGÖTLANDS LÄN</t>
        </is>
      </c>
      <c r="G152" t="inlineStr">
        <is>
          <t>MOTALA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45798</v>
      </c>
      <c r="E153" s="1" t="n">
        <v>46262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45302</v>
      </c>
      <c r="E154" s="1" t="n">
        <v>46262</v>
      </c>
      <c r="F154" t="inlineStr">
        <is>
          <t>ÖSTERGÖTLANDS LÄN</t>
        </is>
      </c>
      <c r="G154" t="inlineStr">
        <is>
          <t>MOTALA</t>
        </is>
      </c>
      <c r="H154" t="inlineStr">
        <is>
          <t>Övriga statliga verk och myndigheter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46262</v>
      </c>
      <c r="F155" t="inlineStr">
        <is>
          <t>ÖSTERGÖTLANDS LÄN</t>
        </is>
      </c>
      <c r="G155" t="inlineStr">
        <is>
          <t>MOTALA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46262</v>
      </c>
      <c r="F156" t="inlineStr">
        <is>
          <t>ÖSTERGÖTLANDS LÄN</t>
        </is>
      </c>
      <c r="G156" t="inlineStr">
        <is>
          <t>MOTALA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44734</v>
      </c>
      <c r="E157" s="1" t="n">
        <v>46262</v>
      </c>
      <c r="F157" t="inlineStr">
        <is>
          <t>ÖSTERGÖTLANDS LÄN</t>
        </is>
      </c>
      <c r="G157" t="inlineStr">
        <is>
          <t>MOTALA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46262</v>
      </c>
      <c r="F158" t="inlineStr">
        <is>
          <t>ÖSTERGÖTLANDS LÄN</t>
        </is>
      </c>
      <c r="G158" t="inlineStr">
        <is>
          <t>MOTALA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46262</v>
      </c>
      <c r="F159" t="inlineStr">
        <is>
          <t>ÖSTERGÖTLANDS LÄN</t>
        </is>
      </c>
      <c r="G159" t="inlineStr">
        <is>
          <t>MOTALA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46262</v>
      </c>
      <c r="F160" t="inlineStr">
        <is>
          <t>ÖSTERGÖTLANDS LÄN</t>
        </is>
      </c>
      <c r="G160" t="inlineStr">
        <is>
          <t>MOTALA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46262</v>
      </c>
      <c r="F161" t="inlineStr">
        <is>
          <t>ÖSTERGÖTLANDS LÄN</t>
        </is>
      </c>
      <c r="G161" t="inlineStr">
        <is>
          <t>MOTALA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46262</v>
      </c>
      <c r="F162" t="inlineStr">
        <is>
          <t>ÖSTERGÖTLANDS LÄN</t>
        </is>
      </c>
      <c r="G162" t="inlineStr">
        <is>
          <t>MOTALA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46262</v>
      </c>
      <c r="F163" t="inlineStr">
        <is>
          <t>ÖSTERGÖTLANDS LÄN</t>
        </is>
      </c>
      <c r="G163" t="inlineStr">
        <is>
          <t>MOTALA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46262</v>
      </c>
      <c r="F164" t="inlineStr">
        <is>
          <t>ÖSTERGÖTLANDS LÄN</t>
        </is>
      </c>
      <c r="G164" t="inlineStr">
        <is>
          <t>MOTALA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45964</v>
      </c>
      <c r="E165" s="1" t="n">
        <v>46262</v>
      </c>
      <c r="F165" t="inlineStr">
        <is>
          <t>ÖSTERGÖTLANDS LÄN</t>
        </is>
      </c>
      <c r="G165" t="inlineStr">
        <is>
          <t>MOTALA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46262</v>
      </c>
      <c r="F166" t="inlineStr">
        <is>
          <t>ÖSTERGÖTLANDS LÄN</t>
        </is>
      </c>
      <c r="G166" t="inlineStr">
        <is>
          <t>MOTALA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58385-2025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45985</v>
      </c>
      <c r="E167" s="1" t="n">
        <v>46262</v>
      </c>
      <c r="F167" t="inlineStr">
        <is>
          <t>ÖSTERGÖTLANDS LÄN</t>
        </is>
      </c>
      <c r="G167" t="inlineStr">
        <is>
          <t>MOTALA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45173</v>
      </c>
      <c r="E168" s="1" t="n">
        <v>46262</v>
      </c>
      <c r="F168" t="inlineStr">
        <is>
          <t>ÖSTERGÖTLANDS LÄN</t>
        </is>
      </c>
      <c r="G168" t="inlineStr">
        <is>
          <t>MOTALA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46262</v>
      </c>
      <c r="F169" t="inlineStr">
        <is>
          <t>ÖSTERGÖTLANDS LÄN</t>
        </is>
      </c>
      <c r="G169" t="inlineStr">
        <is>
          <t>MOTALA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46262</v>
      </c>
      <c r="F170" t="inlineStr">
        <is>
          <t>ÖSTERGÖTLANDS LÄN</t>
        </is>
      </c>
      <c r="G170" t="inlineStr">
        <is>
          <t>MOTALA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46262</v>
      </c>
      <c r="F171" t="inlineStr">
        <is>
          <t>ÖSTERGÖTLANDS LÄN</t>
        </is>
      </c>
      <c r="G171" t="inlineStr">
        <is>
          <t>MOTALA</t>
        </is>
      </c>
      <c r="H171" t="inlineStr">
        <is>
          <t>Kommuner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46262</v>
      </c>
      <c r="F172" t="inlineStr">
        <is>
          <t>ÖSTERGÖTLANDS LÄN</t>
        </is>
      </c>
      <c r="G172" t="inlineStr">
        <is>
          <t>MOTALA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46262</v>
      </c>
      <c r="F173" t="inlineStr">
        <is>
          <t>ÖSTERGÖTLANDS LÄN</t>
        </is>
      </c>
      <c r="G173" t="inlineStr">
        <is>
          <t>MOTALA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46262</v>
      </c>
      <c r="F174" t="inlineStr">
        <is>
          <t>ÖSTERGÖTLANDS LÄN</t>
        </is>
      </c>
      <c r="G174" t="inlineStr">
        <is>
          <t>MOTALA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46262</v>
      </c>
      <c r="F175" t="inlineStr">
        <is>
          <t>ÖSTERGÖTLANDS LÄN</t>
        </is>
      </c>
      <c r="G175" t="inlineStr">
        <is>
          <t>MOTALA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27896-2025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45817</v>
      </c>
      <c r="E176" s="1" t="n">
        <v>46262</v>
      </c>
      <c r="F176" t="inlineStr">
        <is>
          <t>ÖSTERGÖTLANDS LÄN</t>
        </is>
      </c>
      <c r="G176" t="inlineStr">
        <is>
          <t>MOTALA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44750</v>
      </c>
      <c r="E177" s="1" t="n">
        <v>46262</v>
      </c>
      <c r="F177" t="inlineStr">
        <is>
          <t>ÖSTERGÖTLANDS LÄN</t>
        </is>
      </c>
      <c r="G177" t="inlineStr">
        <is>
          <t>MOTALA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46262</v>
      </c>
      <c r="F178" t="inlineStr">
        <is>
          <t>ÖSTERGÖTLANDS LÄN</t>
        </is>
      </c>
      <c r="G178" t="inlineStr">
        <is>
          <t>MOTALA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46262</v>
      </c>
      <c r="F179" t="inlineStr">
        <is>
          <t>ÖSTERGÖTLANDS LÄN</t>
        </is>
      </c>
      <c r="G179" t="inlineStr">
        <is>
          <t>MOTALA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46262</v>
      </c>
      <c r="F180" t="inlineStr">
        <is>
          <t>ÖSTERGÖTLANDS LÄN</t>
        </is>
      </c>
      <c r="G180" t="inlineStr">
        <is>
          <t>MOTALA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46262</v>
      </c>
      <c r="F181" t="inlineStr">
        <is>
          <t>ÖSTERGÖTLANDS LÄN</t>
        </is>
      </c>
      <c r="G181" t="inlineStr">
        <is>
          <t>MOTALA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46262</v>
      </c>
      <c r="F182" t="inlineStr">
        <is>
          <t>ÖSTERGÖTLANDS LÄN</t>
        </is>
      </c>
      <c r="G182" t="inlineStr">
        <is>
          <t>MOTALA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46262</v>
      </c>
      <c r="F183" t="inlineStr">
        <is>
          <t>ÖSTERGÖTLANDS LÄN</t>
        </is>
      </c>
      <c r="G183" t="inlineStr">
        <is>
          <t>MOTALA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46262</v>
      </c>
      <c r="F184" t="inlineStr">
        <is>
          <t>ÖSTERGÖTLANDS LÄN</t>
        </is>
      </c>
      <c r="G184" t="inlineStr">
        <is>
          <t>MOTALA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46262</v>
      </c>
      <c r="F185" t="inlineStr">
        <is>
          <t>ÖSTERGÖTLANDS LÄN</t>
        </is>
      </c>
      <c r="G185" t="inlineStr">
        <is>
          <t>MOTALA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46262</v>
      </c>
      <c r="F186" t="inlineStr">
        <is>
          <t>ÖSTERGÖTLANDS LÄN</t>
        </is>
      </c>
      <c r="G186" t="inlineStr">
        <is>
          <t>MOTALA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46262</v>
      </c>
      <c r="F187" t="inlineStr">
        <is>
          <t>ÖSTERGÖTLANDS LÄN</t>
        </is>
      </c>
      <c r="G187" t="inlineStr">
        <is>
          <t>MOTALA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46262</v>
      </c>
      <c r="F188" t="inlineStr">
        <is>
          <t>ÖSTERGÖTLANDS LÄN</t>
        </is>
      </c>
      <c r="G188" t="inlineStr">
        <is>
          <t>MOTALA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45111</v>
      </c>
      <c r="E189" s="1" t="n">
        <v>46262</v>
      </c>
      <c r="F189" t="inlineStr">
        <is>
          <t>ÖSTERGÖTLANDS LÄN</t>
        </is>
      </c>
      <c r="G189" t="inlineStr">
        <is>
          <t>MOTALA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46262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46262</v>
      </c>
      <c r="F191" t="inlineStr">
        <is>
          <t>ÖSTERGÖTLANDS LÄN</t>
        </is>
      </c>
      <c r="G191" t="inlineStr">
        <is>
          <t>MOTALA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45546</v>
      </c>
      <c r="E192" s="1" t="n">
        <v>46262</v>
      </c>
      <c r="F192" t="inlineStr">
        <is>
          <t>ÖSTERGÖTLANDS LÄN</t>
        </is>
      </c>
      <c r="G192" t="inlineStr">
        <is>
          <t>MOTALA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46262</v>
      </c>
      <c r="F193" t="inlineStr">
        <is>
          <t>ÖSTERGÖTLANDS LÄN</t>
        </is>
      </c>
      <c r="G193" t="inlineStr">
        <is>
          <t>MOTALA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46262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46262</v>
      </c>
      <c r="F195" t="inlineStr">
        <is>
          <t>ÖSTERGÖTLANDS LÄN</t>
        </is>
      </c>
      <c r="G195" t="inlineStr">
        <is>
          <t>MOTALA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45429</v>
      </c>
      <c r="E196" s="1" t="n">
        <v>46262</v>
      </c>
      <c r="F196" t="inlineStr">
        <is>
          <t>ÖSTERGÖTLANDS LÄN</t>
        </is>
      </c>
      <c r="G196" t="inlineStr">
        <is>
          <t>MOTALA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50785-2021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44459</v>
      </c>
      <c r="E197" s="1" t="n">
        <v>46262</v>
      </c>
      <c r="F197" t="inlineStr">
        <is>
          <t>ÖSTERGÖTLANDS LÄN</t>
        </is>
      </c>
      <c r="G197" t="inlineStr">
        <is>
          <t>MOTALA</t>
        </is>
      </c>
      <c r="H197" t="inlineStr">
        <is>
          <t>Kyrkan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46262</v>
      </c>
      <c r="F198" t="inlineStr">
        <is>
          <t>ÖSTERGÖTLANDS LÄN</t>
        </is>
      </c>
      <c r="G198" t="inlineStr">
        <is>
          <t>MOTALA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45939</v>
      </c>
      <c r="E199" s="1" t="n">
        <v>46262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46262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46262</v>
      </c>
      <c r="F201" t="inlineStr">
        <is>
          <t>ÖSTERGÖTLANDS LÄN</t>
        </is>
      </c>
      <c r="G201" t="inlineStr">
        <is>
          <t>MOTALA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46262</v>
      </c>
      <c r="F202" t="inlineStr">
        <is>
          <t>ÖSTERGÖTLANDS LÄN</t>
        </is>
      </c>
      <c r="G202" t="inlineStr">
        <is>
          <t>MOTALA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46262</v>
      </c>
      <c r="F203" t="inlineStr">
        <is>
          <t>ÖSTERGÖTLANDS LÄN</t>
        </is>
      </c>
      <c r="G203" t="inlineStr">
        <is>
          <t>MOTALA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45202</v>
      </c>
      <c r="E204" s="1" t="n">
        <v>46262</v>
      </c>
      <c r="F204" t="inlineStr">
        <is>
          <t>ÖSTERGÖTLANDS LÄN</t>
        </is>
      </c>
      <c r="G204" t="inlineStr">
        <is>
          <t>MOTALA</t>
        </is>
      </c>
      <c r="I204" t="n">
        <v>17.6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2028-2022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44575</v>
      </c>
      <c r="E205" s="1" t="n">
        <v>46262</v>
      </c>
      <c r="F205" t="inlineStr">
        <is>
          <t>ÖSTERGÖTLANDS LÄN</t>
        </is>
      </c>
      <c r="G205" t="inlineStr">
        <is>
          <t>MOTALA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46262</v>
      </c>
      <c r="F206" t="inlineStr">
        <is>
          <t>ÖSTERGÖTLANDS LÄN</t>
        </is>
      </c>
      <c r="G206" t="inlineStr">
        <is>
          <t>MOTALA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46262</v>
      </c>
      <c r="F207" t="inlineStr">
        <is>
          <t>ÖSTERGÖTLANDS LÄN</t>
        </is>
      </c>
      <c r="G207" t="inlineStr">
        <is>
          <t>MOTALA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46262</v>
      </c>
      <c r="F208" t="inlineStr">
        <is>
          <t>ÖSTERGÖTLANDS LÄN</t>
        </is>
      </c>
      <c r="G208" t="inlineStr">
        <is>
          <t>MOTALA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46003</v>
      </c>
      <c r="E209" s="1" t="n">
        <v>46262</v>
      </c>
      <c r="F209" t="inlineStr">
        <is>
          <t>ÖSTERGÖTLANDS LÄN</t>
        </is>
      </c>
      <c r="G209" t="inlineStr">
        <is>
          <t>MOTALA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44776</v>
      </c>
      <c r="E210" s="1" t="n">
        <v>46262</v>
      </c>
      <c r="F210" t="inlineStr">
        <is>
          <t>ÖSTERGÖTLANDS LÄN</t>
        </is>
      </c>
      <c r="G210" t="inlineStr">
        <is>
          <t>MOTALA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45998</v>
      </c>
      <c r="E211" s="1" t="n">
        <v>46262</v>
      </c>
      <c r="F211" t="inlineStr">
        <is>
          <t>ÖSTERGÖTLANDS LÄN</t>
        </is>
      </c>
      <c r="G211" t="inlineStr">
        <is>
          <t>MOTALA</t>
        </is>
      </c>
      <c r="I211" t="n">
        <v>15.9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46003</v>
      </c>
      <c r="E212" s="1" t="n">
        <v>46262</v>
      </c>
      <c r="F212" t="inlineStr">
        <is>
          <t>ÖSTERGÖTLANDS LÄN</t>
        </is>
      </c>
      <c r="G212" t="inlineStr">
        <is>
          <t>MOTALA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49627-2021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44455</v>
      </c>
      <c r="E213" s="1" t="n">
        <v>46262</v>
      </c>
      <c r="F213" t="inlineStr">
        <is>
          <t>ÖSTERGÖTLANDS LÄN</t>
        </is>
      </c>
      <c r="G213" t="inlineStr">
        <is>
          <t>MOTALA</t>
        </is>
      </c>
      <c r="I213" t="n">
        <v>14.2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46262</v>
      </c>
      <c r="F214" t="inlineStr">
        <is>
          <t>ÖSTERGÖTLANDS LÄN</t>
        </is>
      </c>
      <c r="G214" t="inlineStr">
        <is>
          <t>MOTALA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46262</v>
      </c>
      <c r="F215" t="inlineStr">
        <is>
          <t>ÖSTERGÖTLANDS LÄN</t>
        </is>
      </c>
      <c r="G215" t="inlineStr">
        <is>
          <t>MOTALA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44865</v>
      </c>
      <c r="E216" s="1" t="n">
        <v>46262</v>
      </c>
      <c r="F216" t="inlineStr">
        <is>
          <t>ÖSTERGÖTLANDS LÄN</t>
        </is>
      </c>
      <c r="G216" t="inlineStr">
        <is>
          <t>MOTALA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44890</v>
      </c>
      <c r="E217" s="1" t="n">
        <v>46262</v>
      </c>
      <c r="F217" t="inlineStr">
        <is>
          <t>ÖSTERGÖTLANDS LÄN</t>
        </is>
      </c>
      <c r="G217" t="inlineStr">
        <is>
          <t>MOTALA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46262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46262</v>
      </c>
      <c r="F219" t="inlineStr">
        <is>
          <t>ÖSTERGÖTLANDS LÄN</t>
        </is>
      </c>
      <c r="G219" t="inlineStr">
        <is>
          <t>MOTALA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45237</v>
      </c>
      <c r="E220" s="1" t="n">
        <v>46262</v>
      </c>
      <c r="F220" t="inlineStr">
        <is>
          <t>ÖSTERGÖTLANDS LÄN</t>
        </is>
      </c>
      <c r="G220" t="inlineStr">
        <is>
          <t>MOTALA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44830</v>
      </c>
      <c r="E221" s="1" t="n">
        <v>46262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13422-2022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44645</v>
      </c>
      <c r="E222" s="1" t="n">
        <v>46262</v>
      </c>
      <c r="F222" t="inlineStr">
        <is>
          <t>ÖSTERGÖTLANDS LÄN</t>
        </is>
      </c>
      <c r="G222" t="inlineStr">
        <is>
          <t>MOTALA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41924-2022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46262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44830</v>
      </c>
      <c r="E224" s="1" t="n">
        <v>46262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46262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45343</v>
      </c>
      <c r="E226" s="1" t="n">
        <v>46262</v>
      </c>
      <c r="F226" t="inlineStr">
        <is>
          <t>ÖSTERGÖTLANDS LÄN</t>
        </is>
      </c>
      <c r="G226" t="inlineStr">
        <is>
          <t>MOTALA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45099-2023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46262</v>
      </c>
      <c r="F227" t="inlineStr">
        <is>
          <t>ÖSTERGÖTLANDS LÄN</t>
        </is>
      </c>
      <c r="G227" t="inlineStr">
        <is>
          <t>MOTALA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44628</v>
      </c>
      <c r="E228" s="1" t="n">
        <v>46262</v>
      </c>
      <c r="F228" t="inlineStr">
        <is>
          <t>ÖSTERGÖTLANDS LÄN</t>
        </is>
      </c>
      <c r="G228" t="inlineStr">
        <is>
          <t>MOTALA</t>
        </is>
      </c>
      <c r="H228" t="inlineStr">
        <is>
          <t>Allmännings- och besparingsskogar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46262</v>
      </c>
      <c r="F229" t="inlineStr">
        <is>
          <t>ÖSTERGÖTLANDS LÄN</t>
        </is>
      </c>
      <c r="G229" t="inlineStr">
        <is>
          <t>MOTALA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57992-2021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44487</v>
      </c>
      <c r="E230" s="1" t="n">
        <v>46262</v>
      </c>
      <c r="F230" t="inlineStr">
        <is>
          <t>ÖSTERGÖTLANDS LÄN</t>
        </is>
      </c>
      <c r="G230" t="inlineStr">
        <is>
          <t>MOTALA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46262</v>
      </c>
      <c r="F231" t="inlineStr">
        <is>
          <t>ÖSTERGÖTLANDS LÄN</t>
        </is>
      </c>
      <c r="G231" t="inlineStr">
        <is>
          <t>MOTALA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44967</v>
      </c>
      <c r="E232" s="1" t="n">
        <v>46262</v>
      </c>
      <c r="F232" t="inlineStr">
        <is>
          <t>ÖSTERGÖTLANDS LÄN</t>
        </is>
      </c>
      <c r="G232" t="inlineStr">
        <is>
          <t>MOTALA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44865</v>
      </c>
      <c r="E233" s="1" t="n">
        <v>46262</v>
      </c>
      <c r="F233" t="inlineStr">
        <is>
          <t>ÖSTERGÖTLANDS LÄN</t>
        </is>
      </c>
      <c r="G233" t="inlineStr">
        <is>
          <t>MOTALA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44911</v>
      </c>
      <c r="E234" s="1" t="n">
        <v>46262</v>
      </c>
      <c r="F234" t="inlineStr">
        <is>
          <t>ÖSTERGÖTLANDS LÄN</t>
        </is>
      </c>
      <c r="G234" t="inlineStr">
        <is>
          <t>MOTALA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44887</v>
      </c>
      <c r="E235" s="1" t="n">
        <v>46262</v>
      </c>
      <c r="F235" t="inlineStr">
        <is>
          <t>ÖSTERGÖTLANDS LÄN</t>
        </is>
      </c>
      <c r="G235" t="inlineStr">
        <is>
          <t>MOTALA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44931</v>
      </c>
      <c r="E236" s="1" t="n">
        <v>46262</v>
      </c>
      <c r="F236" t="inlineStr">
        <is>
          <t>ÖSTERGÖTLANDS LÄN</t>
        </is>
      </c>
      <c r="G236" t="inlineStr">
        <is>
          <t>MOTALA</t>
        </is>
      </c>
      <c r="H236" t="inlineStr">
        <is>
          <t>Övriga statliga verk och myndigheter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46262</v>
      </c>
      <c r="F237" t="inlineStr">
        <is>
          <t>ÖSTERGÖTLANDS LÄN</t>
        </is>
      </c>
      <c r="G237" t="inlineStr">
        <is>
          <t>MOTALA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46262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46262</v>
      </c>
      <c r="F239" t="inlineStr">
        <is>
          <t>ÖSTERGÖTLANDS LÄN</t>
        </is>
      </c>
      <c r="G239" t="inlineStr">
        <is>
          <t>MOTALA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46262</v>
      </c>
      <c r="F240" t="inlineStr">
        <is>
          <t>ÖSTERGÖTLANDS LÄN</t>
        </is>
      </c>
      <c r="G240" t="inlineStr">
        <is>
          <t>MOTALA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46262</v>
      </c>
      <c r="F241" t="inlineStr">
        <is>
          <t>ÖSTERGÖTLANDS LÄN</t>
        </is>
      </c>
      <c r="G241" t="inlineStr">
        <is>
          <t>MOTALA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46262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46262</v>
      </c>
      <c r="F243" t="inlineStr">
        <is>
          <t>ÖSTERGÖTLANDS LÄN</t>
        </is>
      </c>
      <c r="G243" t="inlineStr">
        <is>
          <t>MOTALA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46262</v>
      </c>
      <c r="F244" t="inlineStr">
        <is>
          <t>ÖSTERGÖTLANDS LÄN</t>
        </is>
      </c>
      <c r="G244" t="inlineStr">
        <is>
          <t>MOTALA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44592</v>
      </c>
      <c r="E245" s="1" t="n">
        <v>46262</v>
      </c>
      <c r="F245" t="inlineStr">
        <is>
          <t>ÖSTERGÖTLANDS LÄN</t>
        </is>
      </c>
      <c r="G245" t="inlineStr">
        <is>
          <t>MOTALA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45575</v>
      </c>
      <c r="E246" s="1" t="n">
        <v>46262</v>
      </c>
      <c r="F246" t="inlineStr">
        <is>
          <t>ÖSTERGÖTLANDS LÄN</t>
        </is>
      </c>
      <c r="G246" t="inlineStr">
        <is>
          <t>MOTALA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46262</v>
      </c>
      <c r="F247" t="inlineStr">
        <is>
          <t>ÖSTERGÖTLANDS LÄN</t>
        </is>
      </c>
      <c r="G247" t="inlineStr">
        <is>
          <t>MOTALA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44881</v>
      </c>
      <c r="E248" s="1" t="n">
        <v>46262</v>
      </c>
      <c r="F248" t="inlineStr">
        <is>
          <t>ÖSTERGÖTLANDS LÄN</t>
        </is>
      </c>
      <c r="G248" t="inlineStr">
        <is>
          <t>MOTALA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46061</v>
      </c>
      <c r="E249" s="1" t="n">
        <v>46262</v>
      </c>
      <c r="F249" t="inlineStr">
        <is>
          <t>ÖSTERGÖTLANDS LÄN</t>
        </is>
      </c>
      <c r="G249" t="inlineStr">
        <is>
          <t>MOTALA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46262</v>
      </c>
      <c r="F250" t="inlineStr">
        <is>
          <t>ÖSTERGÖTLANDS LÄN</t>
        </is>
      </c>
      <c r="G250" t="inlineStr">
        <is>
          <t>MOTALA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46262</v>
      </c>
      <c r="F251" t="inlineStr">
        <is>
          <t>ÖSTERGÖTLANDS LÄN</t>
        </is>
      </c>
      <c r="G251" t="inlineStr">
        <is>
          <t>MOTALA</t>
        </is>
      </c>
      <c r="H251" t="inlineStr">
        <is>
          <t>Sveaskog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46064</v>
      </c>
      <c r="E252" s="1" t="n">
        <v>46262</v>
      </c>
      <c r="F252" t="inlineStr">
        <is>
          <t>ÖSTERGÖTLANDS LÄN</t>
        </is>
      </c>
      <c r="G252" t="inlineStr">
        <is>
          <t>MOTALA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45659</v>
      </c>
      <c r="E253" s="1" t="n">
        <v>46262</v>
      </c>
      <c r="F253" t="inlineStr">
        <is>
          <t>ÖSTERGÖTLANDS LÄN</t>
        </is>
      </c>
      <c r="G253" t="inlineStr">
        <is>
          <t>MOTALA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46262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46262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46262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46262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46262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46262</v>
      </c>
      <c r="F259" t="inlineStr">
        <is>
          <t>ÖSTERGÖTLANDS LÄN</t>
        </is>
      </c>
      <c r="G259" t="inlineStr">
        <is>
          <t>MOTALA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46262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46262</v>
      </c>
      <c r="F261" t="inlineStr">
        <is>
          <t>ÖSTERGÖTLANDS LÄN</t>
        </is>
      </c>
      <c r="G261" t="inlineStr">
        <is>
          <t>MOTALA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46262</v>
      </c>
      <c r="F262" t="inlineStr">
        <is>
          <t>ÖSTERGÖTLANDS LÄN</t>
        </is>
      </c>
      <c r="G262" t="inlineStr">
        <is>
          <t>MOTALA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46262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46262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46262</v>
      </c>
      <c r="F265" t="inlineStr">
        <is>
          <t>ÖSTERGÖTLANDS LÄN</t>
        </is>
      </c>
      <c r="G265" t="inlineStr">
        <is>
          <t>MOTALA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44776</v>
      </c>
      <c r="E266" s="1" t="n">
        <v>46262</v>
      </c>
      <c r="F266" t="inlineStr">
        <is>
          <t>ÖSTERGÖTLANDS LÄN</t>
        </is>
      </c>
      <c r="G266" t="inlineStr">
        <is>
          <t>MOTALA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46262</v>
      </c>
      <c r="F267" t="inlineStr">
        <is>
          <t>ÖSTERGÖTLANDS LÄN</t>
        </is>
      </c>
      <c r="G267" t="inlineStr">
        <is>
          <t>MOTALA</t>
        </is>
      </c>
      <c r="H267" t="inlineStr">
        <is>
          <t>Holmen skog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45351</v>
      </c>
      <c r="E268" s="1" t="n">
        <v>46262</v>
      </c>
      <c r="F268" t="inlineStr">
        <is>
          <t>ÖSTERGÖTLANDS LÄN</t>
        </is>
      </c>
      <c r="G268" t="inlineStr">
        <is>
          <t>MOTALA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10510-2026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46077</v>
      </c>
      <c r="E269" s="1" t="n">
        <v>46262</v>
      </c>
      <c r="F269" t="inlineStr">
        <is>
          <t>ÖSTERGÖTLANDS LÄN</t>
        </is>
      </c>
      <c r="G269" t="inlineStr">
        <is>
          <t>MOTALA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46262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46262</v>
      </c>
      <c r="F271" t="inlineStr">
        <is>
          <t>ÖSTERGÖTLANDS LÄN</t>
        </is>
      </c>
      <c r="G271" t="inlineStr">
        <is>
          <t>MOTALA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46262</v>
      </c>
      <c r="F272" t="inlineStr">
        <is>
          <t>ÖSTERGÖTLANDS LÄN</t>
        </is>
      </c>
      <c r="G272" t="inlineStr">
        <is>
          <t>MOTALA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46262</v>
      </c>
      <c r="F273" t="inlineStr">
        <is>
          <t>ÖSTERGÖTLANDS LÄN</t>
        </is>
      </c>
      <c r="G273" t="inlineStr">
        <is>
          <t>MOTALA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45069</v>
      </c>
      <c r="E274" s="1" t="n">
        <v>46262</v>
      </c>
      <c r="F274" t="inlineStr">
        <is>
          <t>ÖSTERGÖTLANDS LÄN</t>
        </is>
      </c>
      <c r="G274" t="inlineStr">
        <is>
          <t>MOTALA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45615</v>
      </c>
      <c r="E275" s="1" t="n">
        <v>46262</v>
      </c>
      <c r="F275" t="inlineStr">
        <is>
          <t>ÖSTERGÖTLANDS LÄN</t>
        </is>
      </c>
      <c r="G275" t="inlineStr">
        <is>
          <t>MOTALA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45092</v>
      </c>
      <c r="E276" s="1" t="n">
        <v>46262</v>
      </c>
      <c r="F276" t="inlineStr">
        <is>
          <t>ÖSTERGÖTLANDS LÄN</t>
        </is>
      </c>
      <c r="G276" t="inlineStr">
        <is>
          <t>MOTALA</t>
        </is>
      </c>
      <c r="H276" t="inlineStr">
        <is>
          <t>Övriga statliga verk och myndigheter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45243</v>
      </c>
      <c r="E277" s="1" t="n">
        <v>46262</v>
      </c>
      <c r="F277" t="inlineStr">
        <is>
          <t>ÖSTERGÖTLANDS LÄN</t>
        </is>
      </c>
      <c r="G277" t="inlineStr">
        <is>
          <t>MOTALA</t>
        </is>
      </c>
      <c r="H277" t="inlineStr">
        <is>
          <t>Övriga statliga verk och myndigheter</t>
        </is>
      </c>
      <c r="I277" t="n">
        <v>12.2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46262</v>
      </c>
      <c r="F278" t="inlineStr">
        <is>
          <t>ÖSTERGÖTLANDS LÄN</t>
        </is>
      </c>
      <c r="G278" t="inlineStr">
        <is>
          <t>MOTALA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46091</v>
      </c>
      <c r="E279" s="1" t="n">
        <v>46262</v>
      </c>
      <c r="F279" t="inlineStr">
        <is>
          <t>ÖSTERGÖTLANDS LÄN</t>
        </is>
      </c>
      <c r="G279" t="inlineStr">
        <is>
          <t>MOTALA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46262</v>
      </c>
      <c r="F280" t="inlineStr">
        <is>
          <t>ÖSTERGÖTLANDS LÄN</t>
        </is>
      </c>
      <c r="G280" t="inlineStr">
        <is>
          <t>MOTALA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46262</v>
      </c>
      <c r="F281" t="inlineStr">
        <is>
          <t>ÖSTERGÖTLANDS LÄN</t>
        </is>
      </c>
      <c r="G281" t="inlineStr">
        <is>
          <t>MOTALA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12968-2026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46092</v>
      </c>
      <c r="E282" s="1" t="n">
        <v>46262</v>
      </c>
      <c r="F282" t="inlineStr">
        <is>
          <t>ÖSTERGÖTLANDS LÄN</t>
        </is>
      </c>
      <c r="G282" t="inlineStr">
        <is>
          <t>MOTALA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46262</v>
      </c>
      <c r="F283" t="inlineStr">
        <is>
          <t>ÖSTERGÖTLANDS LÄN</t>
        </is>
      </c>
      <c r="G283" t="inlineStr">
        <is>
          <t>MOTALA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45484</v>
      </c>
      <c r="E284" s="1" t="n">
        <v>46262</v>
      </c>
      <c r="F284" t="inlineStr">
        <is>
          <t>ÖSTERGÖTLANDS LÄN</t>
        </is>
      </c>
      <c r="G284" t="inlineStr">
        <is>
          <t>MOTALA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46262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46262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71205-2021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44539</v>
      </c>
      <c r="E287" s="1" t="n">
        <v>46262</v>
      </c>
      <c r="F287" t="inlineStr">
        <is>
          <t>ÖSTERGÖTLANDS LÄN</t>
        </is>
      </c>
      <c r="G287" t="inlineStr">
        <is>
          <t>MOTALA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46262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44748</v>
      </c>
      <c r="E289" s="1" t="n">
        <v>46262</v>
      </c>
      <c r="F289" t="inlineStr">
        <is>
          <t>ÖSTERGÖTLANDS LÄN</t>
        </is>
      </c>
      <c r="G289" t="inlineStr">
        <is>
          <t>MOTALA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46262</v>
      </c>
      <c r="F290" t="inlineStr">
        <is>
          <t>ÖSTERGÖTLANDS LÄN</t>
        </is>
      </c>
      <c r="G290" t="inlineStr">
        <is>
          <t>MOTALA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45425</v>
      </c>
      <c r="E291" s="1" t="n">
        <v>46262</v>
      </c>
      <c r="F291" t="inlineStr">
        <is>
          <t>ÖSTERGÖTLANDS LÄN</t>
        </is>
      </c>
      <c r="G291" t="inlineStr">
        <is>
          <t>MOTALA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46262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44725</v>
      </c>
      <c r="E293" s="1" t="n">
        <v>46262</v>
      </c>
      <c r="F293" t="inlineStr">
        <is>
          <t>ÖSTERGÖTLANDS LÄN</t>
        </is>
      </c>
      <c r="G293" t="inlineStr">
        <is>
          <t>MOTALA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51092-2024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46262</v>
      </c>
      <c r="F294" t="inlineStr">
        <is>
          <t>ÖSTERGÖTLANDS LÄN</t>
        </is>
      </c>
      <c r="G294" t="inlineStr">
        <is>
          <t>MOTALA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45427</v>
      </c>
      <c r="E295" s="1" t="n">
        <v>46262</v>
      </c>
      <c r="F295" t="inlineStr">
        <is>
          <t>ÖSTERGÖTLANDS LÄN</t>
        </is>
      </c>
      <c r="G295" t="inlineStr">
        <is>
          <t>MOTALA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46262</v>
      </c>
      <c r="F296" t="inlineStr">
        <is>
          <t>ÖSTERGÖTLANDS LÄN</t>
        </is>
      </c>
      <c r="G296" t="inlineStr">
        <is>
          <t>MOTALA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46262</v>
      </c>
      <c r="F297" t="inlineStr">
        <is>
          <t>ÖSTERGÖTLANDS LÄN</t>
        </is>
      </c>
      <c r="G297" t="inlineStr">
        <is>
          <t>MOTALA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46262</v>
      </c>
      <c r="F298" t="inlineStr">
        <is>
          <t>ÖSTERGÖTLANDS LÄN</t>
        </is>
      </c>
      <c r="G298" t="inlineStr">
        <is>
          <t>MOTALA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46100</v>
      </c>
      <c r="E299" s="1" t="n">
        <v>46262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15551-2026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46106</v>
      </c>
      <c r="E300" s="1" t="n">
        <v>46262</v>
      </c>
      <c r="F300" t="inlineStr">
        <is>
          <t>ÖSTERGÖTLANDS LÄN</t>
        </is>
      </c>
      <c r="G300" t="inlineStr">
        <is>
          <t>MOTALA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46262</v>
      </c>
      <c r="F301" t="inlineStr">
        <is>
          <t>ÖSTERGÖTLANDS LÄN</t>
        </is>
      </c>
      <c r="G301" t="inlineStr">
        <is>
          <t>MOTALA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46262</v>
      </c>
      <c r="F302" t="inlineStr">
        <is>
          <t>ÖSTERGÖTLANDS LÄN</t>
        </is>
      </c>
      <c r="G302" t="inlineStr">
        <is>
          <t>MOTALA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46262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46262</v>
      </c>
      <c r="F304" t="inlineStr">
        <is>
          <t>ÖSTERGÖTLANDS LÄN</t>
        </is>
      </c>
      <c r="G304" t="inlineStr">
        <is>
          <t>MOTALA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65566-2021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44516</v>
      </c>
      <c r="E305" s="1" t="n">
        <v>46262</v>
      </c>
      <c r="F305" t="inlineStr">
        <is>
          <t>ÖSTERGÖTLANDS LÄN</t>
        </is>
      </c>
      <c r="G305" t="inlineStr">
        <is>
          <t>MOTALA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17741-2026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46262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46262</v>
      </c>
      <c r="F307" t="inlineStr">
        <is>
          <t>ÖSTERGÖTLANDS LÄN</t>
        </is>
      </c>
      <c r="G307" t="inlineStr">
        <is>
          <t>MOTALA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46262</v>
      </c>
      <c r="F308" t="inlineStr">
        <is>
          <t>ÖSTERGÖTLANDS LÄN</t>
        </is>
      </c>
      <c r="G308" t="inlineStr">
        <is>
          <t>MOTALA</t>
        </is>
      </c>
      <c r="H308" t="inlineStr">
        <is>
          <t>Övriga statliga verk och myndigheter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17008-2022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44676</v>
      </c>
      <c r="E309" s="1" t="n">
        <v>46262</v>
      </c>
      <c r="F309" t="inlineStr">
        <is>
          <t>ÖSTERGÖTLANDS LÄN</t>
        </is>
      </c>
      <c r="G309" t="inlineStr">
        <is>
          <t>MOTALA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46262</v>
      </c>
      <c r="F310" t="inlineStr">
        <is>
          <t>ÖSTERGÖTLANDS LÄN</t>
        </is>
      </c>
      <c r="G310" t="inlineStr">
        <is>
          <t>MOTALA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19108-2026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46262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45294</v>
      </c>
      <c r="E312" s="1" t="n">
        <v>46262</v>
      </c>
      <c r="F312" t="inlineStr">
        <is>
          <t>ÖSTERGÖTLANDS LÄN</t>
        </is>
      </c>
      <c r="G312" t="inlineStr">
        <is>
          <t>MOTALA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46262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45161</v>
      </c>
      <c r="E314" s="1" t="n">
        <v>46262</v>
      </c>
      <c r="F314" t="inlineStr">
        <is>
          <t>ÖSTERGÖTLANDS LÄN</t>
        </is>
      </c>
      <c r="G314" t="inlineStr">
        <is>
          <t>MOTALA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46262</v>
      </c>
      <c r="F315" t="inlineStr">
        <is>
          <t>ÖSTERGÖTLANDS LÄN</t>
        </is>
      </c>
      <c r="G315" t="inlineStr">
        <is>
          <t>MOTALA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46262</v>
      </c>
      <c r="F316" t="inlineStr">
        <is>
          <t>ÖSTERGÖTLANDS LÄN</t>
        </is>
      </c>
      <c r="G316" t="inlineStr">
        <is>
          <t>MOTALA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45589</v>
      </c>
      <c r="E317" s="1" t="n">
        <v>46262</v>
      </c>
      <c r="F317" t="inlineStr">
        <is>
          <t>ÖSTERGÖTLANDS LÄN</t>
        </is>
      </c>
      <c r="G317" t="inlineStr">
        <is>
          <t>MOTALA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46262</v>
      </c>
      <c r="F318" t="inlineStr">
        <is>
          <t>ÖSTERGÖTLANDS LÄN</t>
        </is>
      </c>
      <c r="G318" t="inlineStr">
        <is>
          <t>MOTALA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45602</v>
      </c>
      <c r="E319" s="1" t="n">
        <v>46262</v>
      </c>
      <c r="F319" t="inlineStr">
        <is>
          <t>ÖSTERGÖTLANDS LÄN</t>
        </is>
      </c>
      <c r="G319" t="inlineStr">
        <is>
          <t>MOTALA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45614</v>
      </c>
      <c r="E320" s="1" t="n">
        <v>46262</v>
      </c>
      <c r="F320" t="inlineStr">
        <is>
          <t>ÖSTERGÖTLANDS LÄN</t>
        </is>
      </c>
      <c r="G320" t="inlineStr">
        <is>
          <t>MOTALA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46262</v>
      </c>
      <c r="F321" t="inlineStr">
        <is>
          <t>ÖSTERGÖTLANDS LÄN</t>
        </is>
      </c>
      <c r="G321" t="inlineStr">
        <is>
          <t>MOTALA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46262</v>
      </c>
      <c r="F322" t="inlineStr">
        <is>
          <t>ÖSTERGÖTLANDS LÄN</t>
        </is>
      </c>
      <c r="G322" t="inlineStr">
        <is>
          <t>MOTALA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45266</v>
      </c>
      <c r="E323" s="1" t="n">
        <v>46262</v>
      </c>
      <c r="F323" t="inlineStr">
        <is>
          <t>ÖSTERGÖTLANDS LÄN</t>
        </is>
      </c>
      <c r="G323" t="inlineStr">
        <is>
          <t>MOTALA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52302-2023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45224</v>
      </c>
      <c r="E324" s="1" t="n">
        <v>46262</v>
      </c>
      <c r="F324" t="inlineStr">
        <is>
          <t>ÖSTERGÖTLANDS LÄN</t>
        </is>
      </c>
      <c r="G324" t="inlineStr">
        <is>
          <t>MOTALA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46262</v>
      </c>
      <c r="F325" t="inlineStr">
        <is>
          <t>ÖSTERGÖTLANDS LÄN</t>
        </is>
      </c>
      <c r="G325" t="inlineStr">
        <is>
          <t>MOTALA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45428</v>
      </c>
      <c r="E326" s="1" t="n">
        <v>46262</v>
      </c>
      <c r="F326" t="inlineStr">
        <is>
          <t>ÖSTERGÖTLANDS LÄN</t>
        </is>
      </c>
      <c r="G326" t="inlineStr">
        <is>
          <t>MOTALA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46262</v>
      </c>
      <c r="F327" t="inlineStr">
        <is>
          <t>ÖSTERGÖTLANDS LÄN</t>
        </is>
      </c>
      <c r="G327" t="inlineStr">
        <is>
          <t>MOTALA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45562</v>
      </c>
      <c r="E328" s="1" t="n">
        <v>46262</v>
      </c>
      <c r="F328" t="inlineStr">
        <is>
          <t>ÖSTERGÖTLANDS LÄN</t>
        </is>
      </c>
      <c r="G328" t="inlineStr">
        <is>
          <t>MOTALA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44942</v>
      </c>
      <c r="E329" s="1" t="n">
        <v>46262</v>
      </c>
      <c r="F329" t="inlineStr">
        <is>
          <t>ÖSTERGÖTLANDS LÄN</t>
        </is>
      </c>
      <c r="G329" t="inlineStr">
        <is>
          <t>MOTALA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52385-2025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46262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46262</v>
      </c>
      <c r="F331" t="inlineStr">
        <is>
          <t>ÖSTERGÖTLANDS LÄN</t>
        </is>
      </c>
      <c r="G331" t="inlineStr">
        <is>
          <t>MOTALA</t>
        </is>
      </c>
      <c r="H331" t="inlineStr">
        <is>
          <t>Övriga statliga verk och myndigheter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45279</v>
      </c>
      <c r="E332" s="1" t="n">
        <v>46262</v>
      </c>
      <c r="F332" t="inlineStr">
        <is>
          <t>ÖSTERGÖTLANDS LÄN</t>
        </is>
      </c>
      <c r="G332" t="inlineStr">
        <is>
          <t>MOTALA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64175-2023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45279</v>
      </c>
      <c r="E333" s="1" t="n">
        <v>46262</v>
      </c>
      <c r="F333" t="inlineStr">
        <is>
          <t>ÖSTERGÖTLANDS LÄN</t>
        </is>
      </c>
      <c r="G333" t="inlineStr">
        <is>
          <t>MOTALA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46262</v>
      </c>
      <c r="F334" t="inlineStr">
        <is>
          <t>ÖSTERGÖTLANDS LÄN</t>
        </is>
      </c>
      <c r="G334" t="inlineStr">
        <is>
          <t>MOTALA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44935</v>
      </c>
      <c r="E335" s="1" t="n">
        <v>46262</v>
      </c>
      <c r="F335" t="inlineStr">
        <is>
          <t>ÖSTERGÖTLANDS LÄN</t>
        </is>
      </c>
      <c r="G335" t="inlineStr">
        <is>
          <t>MOTALA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46262</v>
      </c>
      <c r="F336" t="inlineStr">
        <is>
          <t>ÖSTERGÖTLANDS LÄN</t>
        </is>
      </c>
      <c r="G336" t="inlineStr">
        <is>
          <t>MOTALA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46262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45839</v>
      </c>
      <c r="E338" s="1" t="n">
        <v>46262</v>
      </c>
      <c r="F338" t="inlineStr">
        <is>
          <t>ÖSTERGÖTLANDS LÄN</t>
        </is>
      </c>
      <c r="G338" t="inlineStr">
        <is>
          <t>MOTALA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46262</v>
      </c>
      <c r="F339" t="inlineStr">
        <is>
          <t>ÖSTERGÖTLANDS LÄN</t>
        </is>
      </c>
      <c r="G339" t="inlineStr">
        <is>
          <t>MOTALA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46262</v>
      </c>
      <c r="F340" t="inlineStr">
        <is>
          <t>ÖSTERGÖTLANDS LÄN</t>
        </is>
      </c>
      <c r="G340" t="inlineStr">
        <is>
          <t>MOTALA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42130-2024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45562</v>
      </c>
      <c r="E341" s="1" t="n">
        <v>46262</v>
      </c>
      <c r="F341" t="inlineStr">
        <is>
          <t>ÖSTERGÖTLANDS LÄN</t>
        </is>
      </c>
      <c r="G341" t="inlineStr">
        <is>
          <t>MOTALA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62556-2021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44503</v>
      </c>
      <c r="E342" s="1" t="n">
        <v>46262</v>
      </c>
      <c r="F342" t="inlineStr">
        <is>
          <t>ÖSTERGÖTLANDS LÄN</t>
        </is>
      </c>
      <c r="G342" t="inlineStr">
        <is>
          <t>MOTALA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45034</v>
      </c>
      <c r="E343" s="1" t="n">
        <v>46262</v>
      </c>
      <c r="F343" t="inlineStr">
        <is>
          <t>ÖSTERGÖTLANDS LÄN</t>
        </is>
      </c>
      <c r="G343" t="inlineStr">
        <is>
          <t>MOTALA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41944-2022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46262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20815-2026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46141</v>
      </c>
      <c r="E345" s="1" t="n">
        <v>46262</v>
      </c>
      <c r="F345" t="inlineStr">
        <is>
          <t>ÖSTERGÖTLANDS LÄN</t>
        </is>
      </c>
      <c r="G345" t="inlineStr">
        <is>
          <t>MOTALA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46262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20.4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46142</v>
      </c>
      <c r="E347" s="1" t="n">
        <v>46262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46262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21527-2023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45061</v>
      </c>
      <c r="E349" s="1" t="n">
        <v>46262</v>
      </c>
      <c r="F349" t="inlineStr">
        <is>
          <t>ÖSTERGÖTLANDS LÄN</t>
        </is>
      </c>
      <c r="G349" t="inlineStr">
        <is>
          <t>MOTALA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43368-2023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46262</v>
      </c>
      <c r="F350" t="inlineStr">
        <is>
          <t>ÖSTERGÖTLANDS LÄN</t>
        </is>
      </c>
      <c r="G350" t="inlineStr">
        <is>
          <t>MOTALA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34761-2024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46262</v>
      </c>
      <c r="F351" t="inlineStr">
        <is>
          <t>ÖSTERGÖTLANDS LÄN</t>
        </is>
      </c>
      <c r="G351" t="inlineStr">
        <is>
          <t>MOTALA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45812</v>
      </c>
      <c r="E352" s="1" t="n">
        <v>46262</v>
      </c>
      <c r="F352" t="inlineStr">
        <is>
          <t>ÖSTERGÖTLANDS LÄN</t>
        </is>
      </c>
      <c r="G352" t="inlineStr">
        <is>
          <t>MOTALA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46262</v>
      </c>
      <c r="F353" t="inlineStr">
        <is>
          <t>ÖSTERGÖTLANDS LÄN</t>
        </is>
      </c>
      <c r="G353" t="inlineStr">
        <is>
          <t>MOTALA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45473</v>
      </c>
      <c r="E354" s="1" t="n">
        <v>46262</v>
      </c>
      <c r="F354" t="inlineStr">
        <is>
          <t>ÖSTERGÖTLANDS LÄN</t>
        </is>
      </c>
      <c r="G354" t="inlineStr">
        <is>
          <t>MOTALA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46262</v>
      </c>
      <c r="F355" t="inlineStr">
        <is>
          <t>ÖSTERGÖTLANDS LÄN</t>
        </is>
      </c>
      <c r="G355" t="inlineStr">
        <is>
          <t>MOTALA</t>
        </is>
      </c>
      <c r="H355" t="inlineStr">
        <is>
          <t>Övriga statliga verk och myndigheter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46262</v>
      </c>
      <c r="F356" t="inlineStr">
        <is>
          <t>ÖSTERGÖTLANDS LÄN</t>
        </is>
      </c>
      <c r="G356" t="inlineStr">
        <is>
          <t>MOTALA</t>
        </is>
      </c>
      <c r="H356" t="inlineStr">
        <is>
          <t>Övriga statliga verk och myndigheter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45484</v>
      </c>
      <c r="E357" s="1" t="n">
        <v>46262</v>
      </c>
      <c r="F357" t="inlineStr">
        <is>
          <t>ÖSTERGÖTLANDS LÄN</t>
        </is>
      </c>
      <c r="G357" t="inlineStr">
        <is>
          <t>MOTALA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18924-2024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45427</v>
      </c>
      <c r="E358" s="1" t="n">
        <v>46262</v>
      </c>
      <c r="F358" t="inlineStr">
        <is>
          <t>ÖSTERGÖTLANDS LÄN</t>
        </is>
      </c>
      <c r="G358" t="inlineStr">
        <is>
          <t>MOTALA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46158</v>
      </c>
      <c r="E359" s="1" t="n">
        <v>46262</v>
      </c>
      <c r="F359" t="inlineStr">
        <is>
          <t>ÖSTERGÖTLANDS LÄN</t>
        </is>
      </c>
      <c r="G359" t="inlineStr">
        <is>
          <t>MOTALA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46262</v>
      </c>
      <c r="F360" t="inlineStr">
        <is>
          <t>ÖSTERGÖTLANDS LÄN</t>
        </is>
      </c>
      <c r="G360" t="inlineStr">
        <is>
          <t>MOTALA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46160</v>
      </c>
      <c r="E361" s="1" t="n">
        <v>46262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12274-2022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44637</v>
      </c>
      <c r="E362" s="1" t="n">
        <v>46262</v>
      </c>
      <c r="F362" t="inlineStr">
        <is>
          <t>ÖSTERGÖTLANDS LÄN</t>
        </is>
      </c>
      <c r="G362" t="inlineStr">
        <is>
          <t>MOTALA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46262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45685</v>
      </c>
      <c r="E364" s="1" t="n">
        <v>46262</v>
      </c>
      <c r="F364" t="inlineStr">
        <is>
          <t>ÖSTERGÖTLANDS LÄN</t>
        </is>
      </c>
      <c r="G364" t="inlineStr">
        <is>
          <t>MOTALA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22831-2026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46262</v>
      </c>
      <c r="F365" t="inlineStr">
        <is>
          <t>ÖSTERGÖTLANDS LÄN</t>
        </is>
      </c>
      <c r="G365" t="inlineStr">
        <is>
          <t>MOTALA</t>
        </is>
      </c>
      <c r="H365" t="inlineStr">
        <is>
          <t>Holmen skog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46262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46262</v>
      </c>
      <c r="F367" t="inlineStr">
        <is>
          <t>ÖSTERGÖTLANDS LÄN</t>
        </is>
      </c>
      <c r="G367" t="inlineStr">
        <is>
          <t>MOTALA</t>
        </is>
      </c>
      <c r="H367" t="inlineStr">
        <is>
          <t>Holmen skog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46262</v>
      </c>
      <c r="F368" t="inlineStr">
        <is>
          <t>ÖSTERGÖTLANDS LÄN</t>
        </is>
      </c>
      <c r="G368" t="inlineStr">
        <is>
          <t>MOTALA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7927-2022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44608</v>
      </c>
      <c r="E369" s="1" t="n">
        <v>46262</v>
      </c>
      <c r="F369" t="inlineStr">
        <is>
          <t>ÖSTERGÖTLANDS LÄN</t>
        </is>
      </c>
      <c r="G369" t="inlineStr">
        <is>
          <t>MOTALA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46262</v>
      </c>
      <c r="F370" t="inlineStr">
        <is>
          <t>ÖSTERGÖTLANDS LÄN</t>
        </is>
      </c>
      <c r="G370" t="inlineStr">
        <is>
          <t>MOTALA</t>
        </is>
      </c>
      <c r="H370" t="inlineStr">
        <is>
          <t>Holmen skog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47875-2021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44448</v>
      </c>
      <c r="E371" s="1" t="n">
        <v>46262</v>
      </c>
      <c r="F371" t="inlineStr">
        <is>
          <t>ÖSTERGÖTLANDS LÄN</t>
        </is>
      </c>
      <c r="G371" t="inlineStr">
        <is>
          <t>MOTALA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45378</v>
      </c>
      <c r="E372" s="1" t="n">
        <v>46262</v>
      </c>
      <c r="F372" t="inlineStr">
        <is>
          <t>ÖSTERGÖTLANDS LÄN</t>
        </is>
      </c>
      <c r="G372" t="inlineStr">
        <is>
          <t>MOTALA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24254-2022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44725</v>
      </c>
      <c r="E373" s="1" t="n">
        <v>46262</v>
      </c>
      <c r="F373" t="inlineStr">
        <is>
          <t>ÖSTERGÖTLANDS LÄN</t>
        </is>
      </c>
      <c r="G373" t="inlineStr">
        <is>
          <t>MOTALA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46262</v>
      </c>
      <c r="F374" t="inlineStr">
        <is>
          <t>ÖSTERGÖTLANDS LÄN</t>
        </is>
      </c>
      <c r="G374" t="inlineStr">
        <is>
          <t>MOTALA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44987</v>
      </c>
      <c r="E375" s="1" t="n">
        <v>46262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12156-2024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46262</v>
      </c>
      <c r="F376" t="inlineStr">
        <is>
          <t>ÖSTERGÖTLANDS LÄN</t>
        </is>
      </c>
      <c r="G376" t="inlineStr">
        <is>
          <t>MOTALA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51762-2024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45607</v>
      </c>
      <c r="E377" s="1" t="n">
        <v>46262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45377</v>
      </c>
      <c r="E378" s="1" t="n">
        <v>46262</v>
      </c>
      <c r="F378" t="inlineStr">
        <is>
          <t>ÖSTERGÖTLANDS LÄN</t>
        </is>
      </c>
      <c r="G378" t="inlineStr">
        <is>
          <t>MOTALA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46262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46262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46262</v>
      </c>
      <c r="F381" t="inlineStr">
        <is>
          <t>ÖSTERGÖTLANDS LÄN</t>
        </is>
      </c>
      <c r="G381" t="inlineStr">
        <is>
          <t>MOTALA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46262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46262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46262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25.1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46262</v>
      </c>
      <c r="F385" t="inlineStr">
        <is>
          <t>ÖSTERGÖTLANDS LÄN</t>
        </is>
      </c>
      <c r="G385" t="inlineStr">
        <is>
          <t>MOTALA</t>
        </is>
      </c>
      <c r="H385" t="inlineStr">
        <is>
          <t>Övriga statliga verk och myndigheter</t>
        </is>
      </c>
      <c r="I385" t="n">
        <v>24.8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63150-2023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45273</v>
      </c>
      <c r="E386" s="1" t="n">
        <v>46262</v>
      </c>
      <c r="F386" t="inlineStr">
        <is>
          <t>ÖSTERGÖTLANDS LÄN</t>
        </is>
      </c>
      <c r="G386" t="inlineStr">
        <is>
          <t>MOTALA</t>
        </is>
      </c>
      <c r="H386" t="inlineStr">
        <is>
          <t>Kyrkan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44804</v>
      </c>
      <c r="E387" s="1" t="n">
        <v>46262</v>
      </c>
      <c r="F387" t="inlineStr">
        <is>
          <t>ÖSTERGÖTLANDS LÄN</t>
        </is>
      </c>
      <c r="G387" t="inlineStr">
        <is>
          <t>MOTALA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45237</v>
      </c>
      <c r="E388" s="1" t="n">
        <v>46262</v>
      </c>
      <c r="F388" t="inlineStr">
        <is>
          <t>ÖSTERGÖTLANDS LÄN</t>
        </is>
      </c>
      <c r="G388" t="inlineStr">
        <is>
          <t>MOTALA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65561-2021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44516</v>
      </c>
      <c r="E389" s="1" t="n">
        <v>46262</v>
      </c>
      <c r="F389" t="inlineStr">
        <is>
          <t>ÖSTERGÖTLANDS LÄN</t>
        </is>
      </c>
      <c r="G389" t="inlineStr">
        <is>
          <t>MOTALA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32470-2022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44782</v>
      </c>
      <c r="E390" s="1" t="n">
        <v>46262</v>
      </c>
      <c r="F390" t="inlineStr">
        <is>
          <t>ÖSTERGÖTLANDS LÄN</t>
        </is>
      </c>
      <c r="G390" t="inlineStr">
        <is>
          <t>MOTALA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46262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46262</v>
      </c>
      <c r="F392" t="inlineStr">
        <is>
          <t>ÖSTERGÖTLANDS LÄN</t>
        </is>
      </c>
      <c r="G392" t="inlineStr">
        <is>
          <t>MOTALA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46262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12434-2023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44999</v>
      </c>
      <c r="E394" s="1" t="n">
        <v>46262</v>
      </c>
      <c r="F394" t="inlineStr">
        <is>
          <t>ÖSTERGÖTLANDS LÄN</t>
        </is>
      </c>
      <c r="G394" t="inlineStr">
        <is>
          <t>MOTALA</t>
        </is>
      </c>
      <c r="H394" t="inlineStr">
        <is>
          <t>Allmännings- och besparingsskogar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45180</v>
      </c>
      <c r="E395" s="1" t="n">
        <v>46262</v>
      </c>
      <c r="F395" t="inlineStr">
        <is>
          <t>ÖSTERGÖTLANDS LÄN</t>
        </is>
      </c>
      <c r="G395" t="inlineStr">
        <is>
          <t>MOTALA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46262</v>
      </c>
      <c r="F396" t="inlineStr">
        <is>
          <t>ÖSTERGÖTLANDS LÄN</t>
        </is>
      </c>
      <c r="G396" t="inlineStr">
        <is>
          <t>MOTALA</t>
        </is>
      </c>
      <c r="H396" t="inlineStr">
        <is>
          <t>Allmännings- och besparingsskogar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46262</v>
      </c>
      <c r="F397" t="inlineStr">
        <is>
          <t>ÖSTERGÖTLANDS LÄN</t>
        </is>
      </c>
      <c r="G397" t="inlineStr">
        <is>
          <t>MOTALA</t>
        </is>
      </c>
      <c r="I397" t="n">
        <v>10.8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23757-2025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45793</v>
      </c>
      <c r="E398" s="1" t="n">
        <v>46262</v>
      </c>
      <c r="F398" t="inlineStr">
        <is>
          <t>ÖSTERGÖTLANDS LÄN</t>
        </is>
      </c>
      <c r="G398" t="inlineStr">
        <is>
          <t>MOTALA</t>
        </is>
      </c>
      <c r="H398" t="inlineStr">
        <is>
          <t>Allmännings- och besparingsskogar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46681-2021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44445</v>
      </c>
      <c r="E399" s="1" t="n">
        <v>46262</v>
      </c>
      <c r="F399" t="inlineStr">
        <is>
          <t>ÖSTERGÖTLANDS LÄN</t>
        </is>
      </c>
      <c r="G399" t="inlineStr">
        <is>
          <t>MOTALA</t>
        </is>
      </c>
      <c r="H399" t="inlineStr">
        <is>
          <t>Övriga statliga verk och myndigheter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56867-2022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44894</v>
      </c>
      <c r="E400" s="1" t="n">
        <v>46262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46262</v>
      </c>
      <c r="F401" t="inlineStr">
        <is>
          <t>ÖSTERGÖTLANDS LÄN</t>
        </is>
      </c>
      <c r="G401" t="inlineStr">
        <is>
          <t>MOTALA</t>
        </is>
      </c>
      <c r="H401" t="inlineStr">
        <is>
          <t>Allmännings- och besparingsskogar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27735-2026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46262</v>
      </c>
      <c r="F402" t="inlineStr">
        <is>
          <t>ÖSTERGÖTLANDS LÄN</t>
        </is>
      </c>
      <c r="G402" t="inlineStr">
        <is>
          <t>MOTALA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45476</v>
      </c>
      <c r="E403" s="1" t="n">
        <v>46262</v>
      </c>
      <c r="F403" t="inlineStr">
        <is>
          <t>ÖSTERGÖTLANDS LÄN</t>
        </is>
      </c>
      <c r="G403" t="inlineStr">
        <is>
          <t>MOTALA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44893</v>
      </c>
      <c r="E404" s="1" t="n">
        <v>46262</v>
      </c>
      <c r="F404" t="inlineStr">
        <is>
          <t>ÖSTERGÖTLANDS LÄN</t>
        </is>
      </c>
      <c r="G404" t="inlineStr">
        <is>
          <t>MOTALA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46239</v>
      </c>
      <c r="E405" s="1" t="n">
        <v>46262</v>
      </c>
      <c r="F405" t="inlineStr">
        <is>
          <t>ÖSTERGÖTLANDS LÄN</t>
        </is>
      </c>
      <c r="G405" t="inlineStr">
        <is>
          <t>MOTALA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16586-2023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45030</v>
      </c>
      <c r="E406" s="1" t="n">
        <v>46262</v>
      </c>
      <c r="F406" t="inlineStr">
        <is>
          <t>ÖSTERGÖTLANDS LÄN</t>
        </is>
      </c>
      <c r="G406" t="inlineStr">
        <is>
          <t>MOTALA</t>
        </is>
      </c>
      <c r="H406" t="inlineStr">
        <is>
          <t>Kyrkan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28699-2026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46262</v>
      </c>
      <c r="F407" t="inlineStr">
        <is>
          <t>ÖSTERGÖTLANDS LÄN</t>
        </is>
      </c>
      <c r="G407" t="inlineStr">
        <is>
          <t>MOTALA</t>
        </is>
      </c>
      <c r="H407" t="inlineStr">
        <is>
          <t>Allmännings- och besparingsskogar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46262</v>
      </c>
      <c r="F408" t="inlineStr">
        <is>
          <t>ÖSTERGÖTLANDS LÄN</t>
        </is>
      </c>
      <c r="G408" t="inlineStr">
        <is>
          <t>MOTALA</t>
        </is>
      </c>
      <c r="H408" t="inlineStr">
        <is>
          <t>Allmännings- och besparingsskogar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28684-2026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46262</v>
      </c>
      <c r="F409" t="inlineStr">
        <is>
          <t>ÖSTERGÖTLANDS LÄN</t>
        </is>
      </c>
      <c r="G409" t="inlineStr">
        <is>
          <t>MOTALA</t>
        </is>
      </c>
      <c r="H409" t="inlineStr">
        <is>
          <t>Allmännings- och besparingsskogar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28700-2026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46262</v>
      </c>
      <c r="F410" t="inlineStr">
        <is>
          <t>ÖSTERGÖTLANDS LÄN</t>
        </is>
      </c>
      <c r="G410" t="inlineStr">
        <is>
          <t>MOTALA</t>
        </is>
      </c>
      <c r="H410" t="inlineStr">
        <is>
          <t>Allmännings- och besparingsskogar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44641</v>
      </c>
      <c r="E411" s="1" t="n">
        <v>46262</v>
      </c>
      <c r="F411" t="inlineStr">
        <is>
          <t>ÖSTERGÖTLANDS LÄN</t>
        </is>
      </c>
      <c r="G411" t="inlineStr">
        <is>
          <t>MOTALA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60029-2021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44494</v>
      </c>
      <c r="E412" s="1" t="n">
        <v>46262</v>
      </c>
      <c r="F412" t="inlineStr">
        <is>
          <t>ÖSTERGÖTLANDS LÄN</t>
        </is>
      </c>
      <c r="G412" t="inlineStr">
        <is>
          <t>MOTALA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44930</v>
      </c>
      <c r="E413" s="1" t="n">
        <v>46262</v>
      </c>
      <c r="F413" t="inlineStr">
        <is>
          <t>ÖSTERGÖTLANDS LÄN</t>
        </is>
      </c>
      <c r="G413" t="inlineStr">
        <is>
          <t>MOTALA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62065-2023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45266</v>
      </c>
      <c r="E414" s="1" t="n">
        <v>46262</v>
      </c>
      <c r="F414" t="inlineStr">
        <is>
          <t>ÖSTERGÖTLANDS LÄN</t>
        </is>
      </c>
      <c r="G414" t="inlineStr">
        <is>
          <t>MOTALA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44679</v>
      </c>
      <c r="E415" s="1" t="n">
        <v>46262</v>
      </c>
      <c r="F415" t="inlineStr">
        <is>
          <t>ÖSTERGÖTLANDS LÄN</t>
        </is>
      </c>
      <c r="G415" t="inlineStr">
        <is>
          <t>MOTALA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31744-2022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44776</v>
      </c>
      <c r="E416" s="1" t="n">
        <v>46262</v>
      </c>
      <c r="F416" t="inlineStr">
        <is>
          <t>ÖSTERGÖTLANDS LÄN</t>
        </is>
      </c>
      <c r="G416" t="inlineStr">
        <is>
          <t>MOTALA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53322-2023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45229</v>
      </c>
      <c r="E417" s="1" t="n">
        <v>46262</v>
      </c>
      <c r="F417" t="inlineStr">
        <is>
          <t>ÖSTERGÖTLANDS LÄN</t>
        </is>
      </c>
      <c r="G417" t="inlineStr">
        <is>
          <t>MOTALA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46262</v>
      </c>
      <c r="F418" t="inlineStr">
        <is>
          <t>ÖSTERGÖTLANDS LÄN</t>
        </is>
      </c>
      <c r="G418" t="inlineStr">
        <is>
          <t>MOTALA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46262</v>
      </c>
      <c r="F419" t="inlineStr">
        <is>
          <t>ÖSTERGÖTLANDS LÄN</t>
        </is>
      </c>
      <c r="G419" t="inlineStr">
        <is>
          <t>MOTALA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46243</v>
      </c>
      <c r="E420" s="1" t="n">
        <v>46262</v>
      </c>
      <c r="F420" t="inlineStr">
        <is>
          <t>ÖSTERGÖTLANDS LÄN</t>
        </is>
      </c>
      <c r="G420" t="inlineStr">
        <is>
          <t>MOTALA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45204</v>
      </c>
      <c r="E421" s="1" t="n">
        <v>46262</v>
      </c>
      <c r="F421" t="inlineStr">
        <is>
          <t>ÖSTERGÖTLANDS LÄN</t>
        </is>
      </c>
      <c r="G421" t="inlineStr">
        <is>
          <t>MOTALA</t>
        </is>
      </c>
      <c r="H421" t="inlineStr">
        <is>
          <t>Allmännings- och besparingsskogar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8781-2026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46262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29736-2026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46204</v>
      </c>
      <c r="E423" s="1" t="n">
        <v>46262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45222</v>
      </c>
      <c r="E424" s="1" t="n">
        <v>46262</v>
      </c>
      <c r="F424" t="inlineStr">
        <is>
          <t>ÖSTERGÖTLANDS LÄN</t>
        </is>
      </c>
      <c r="G424" t="inlineStr">
        <is>
          <t>MOTALA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24252-2022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44725</v>
      </c>
      <c r="E425" s="1" t="n">
        <v>46262</v>
      </c>
      <c r="F425" t="inlineStr">
        <is>
          <t>ÖSTERGÖTLANDS LÄN</t>
        </is>
      </c>
      <c r="G425" t="inlineStr">
        <is>
          <t>MOTALA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40518-2022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44819</v>
      </c>
      <c r="E426" s="1" t="n">
        <v>46262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41937-2022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44830</v>
      </c>
      <c r="E427" s="1" t="n">
        <v>46262</v>
      </c>
      <c r="F427" t="inlineStr">
        <is>
          <t>ÖSTERGÖTLANDS LÄN</t>
        </is>
      </c>
      <c r="G427" t="inlineStr">
        <is>
          <t>MOTALA</t>
        </is>
      </c>
      <c r="H427" t="inlineStr">
        <is>
          <t>Sveaskog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41898-2022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44830</v>
      </c>
      <c r="E428" s="1" t="n">
        <v>46262</v>
      </c>
      <c r="F428" t="inlineStr">
        <is>
          <t>ÖSTERGÖTLANDS LÄN</t>
        </is>
      </c>
      <c r="G428" t="inlineStr">
        <is>
          <t>MOTALA</t>
        </is>
      </c>
      <c r="H428" t="inlineStr">
        <is>
          <t>Sveaskog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46262</v>
      </c>
      <c r="F429" t="inlineStr">
        <is>
          <t>ÖSTERGÖTLANDS LÄN</t>
        </is>
      </c>
      <c r="G429" t="inlineStr">
        <is>
          <t>MOTALA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45329</v>
      </c>
      <c r="E430" s="1" t="n">
        <v>46262</v>
      </c>
      <c r="F430" t="inlineStr">
        <is>
          <t>ÖSTERGÖTLANDS LÄN</t>
        </is>
      </c>
      <c r="G430" t="inlineStr">
        <is>
          <t>MOTALA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44931</v>
      </c>
      <c r="E431" s="1" t="n">
        <v>46262</v>
      </c>
      <c r="F431" t="inlineStr">
        <is>
          <t>ÖSTERGÖTLANDS LÄN</t>
        </is>
      </c>
      <c r="G431" t="inlineStr">
        <is>
          <t>MOTALA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45343</v>
      </c>
      <c r="E432" s="1" t="n">
        <v>46262</v>
      </c>
      <c r="F432" t="inlineStr">
        <is>
          <t>ÖSTERGÖTLANDS LÄN</t>
        </is>
      </c>
      <c r="G432" t="inlineStr">
        <is>
          <t>MOTALA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45091</v>
      </c>
      <c r="E433" s="1" t="n">
        <v>46262</v>
      </c>
      <c r="F433" t="inlineStr">
        <is>
          <t>ÖSTERGÖTLANDS LÄN</t>
        </is>
      </c>
      <c r="G433" t="inlineStr">
        <is>
          <t>MOTALA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46255</v>
      </c>
      <c r="E434" s="1" t="n">
        <v>46262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44907</v>
      </c>
      <c r="E435" s="1" t="n">
        <v>46262</v>
      </c>
      <c r="F435" t="inlineStr">
        <is>
          <t>ÖSTERGÖTLANDS LÄN</t>
        </is>
      </c>
      <c r="G435" t="inlineStr">
        <is>
          <t>MOTALA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46262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46262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46262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45615</v>
      </c>
      <c r="E439" s="1" t="n">
        <v>46262</v>
      </c>
      <c r="F439" t="inlineStr">
        <is>
          <t>ÖSTERGÖTLANDS LÄN</t>
        </is>
      </c>
      <c r="G439" t="inlineStr">
        <is>
          <t>MOTALA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46218</v>
      </c>
      <c r="E440" s="1" t="n">
        <v>46262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46262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46218</v>
      </c>
      <c r="E442" s="1" t="n">
        <v>46262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35145-2026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46259</v>
      </c>
      <c r="E443" s="1" t="n">
        <v>46262</v>
      </c>
      <c r="F443" t="inlineStr">
        <is>
          <t>ÖSTERGÖTLANDS LÄN</t>
        </is>
      </c>
      <c r="G443" t="inlineStr">
        <is>
          <t>MOTALA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3262-2024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45526</v>
      </c>
      <c r="E444" s="1" t="n">
        <v>46262</v>
      </c>
      <c r="F444" t="inlineStr">
        <is>
          <t>ÖSTERGÖTLANDS LÄN</t>
        </is>
      </c>
      <c r="G444" t="inlineStr">
        <is>
          <t>MOTALA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3481-2023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45205</v>
      </c>
      <c r="E445" s="1" t="n">
        <v>46262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2511-2024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45474</v>
      </c>
      <c r="E446" s="1" t="n">
        <v>46262</v>
      </c>
      <c r="F446" t="inlineStr">
        <is>
          <t>ÖSTERGÖTLANDS LÄN</t>
        </is>
      </c>
      <c r="G446" t="inlineStr">
        <is>
          <t>MOTALA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2535-2024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46262</v>
      </c>
      <c r="F447" t="inlineStr">
        <is>
          <t>ÖSTERGÖTLANDS LÄN</t>
        </is>
      </c>
      <c r="G447" t="inlineStr">
        <is>
          <t>MOTALA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1264-2025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45763</v>
      </c>
      <c r="E448" s="1" t="n">
        <v>46262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1475-2025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45786</v>
      </c>
      <c r="E449" s="1" t="n">
        <v>46262</v>
      </c>
      <c r="F449" t="inlineStr">
        <is>
          <t>ÖSTERGÖTLANDS LÄN</t>
        </is>
      </c>
      <c r="G449" t="inlineStr">
        <is>
          <t>MOTALA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1584-2025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45796</v>
      </c>
      <c r="E450" s="1" t="n">
        <v>46262</v>
      </c>
      <c r="F450" t="inlineStr">
        <is>
          <t>ÖSTERGÖTLANDS LÄN</t>
        </is>
      </c>
      <c r="G450" t="inlineStr">
        <is>
          <t>MOTALA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421-2026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46071</v>
      </c>
      <c r="E451" s="1" t="n">
        <v>46262</v>
      </c>
      <c r="F451" t="inlineStr">
        <is>
          <t>ÖSTERGÖTLANDS LÄN</t>
        </is>
      </c>
      <c r="G451" t="inlineStr">
        <is>
          <t>MOTALA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523-2026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46077</v>
      </c>
      <c r="E452" s="1" t="n">
        <v>46262</v>
      </c>
      <c r="F452" t="inlineStr">
        <is>
          <t>ÖSTERGÖTLANDS LÄN</t>
        </is>
      </c>
      <c r="G452" t="inlineStr">
        <is>
          <t>MOTALA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820-2026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46104</v>
      </c>
      <c r="E453" s="1" t="n">
        <v>46262</v>
      </c>
      <c r="F453" t="inlineStr">
        <is>
          <t>ÖSTERGÖTLANDS LÄN</t>
        </is>
      </c>
      <c r="G453" t="inlineStr">
        <is>
          <t>MOTALA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2026-08-28T01:50:18Z</dcterms:created>
  <dcterms:modified xmlns:dcterms="http://purl.org/dc/terms/" xmlns:xsi="http://www.w3.org/2001/XMLSchema-instance" xsi:type="dcterms:W3CDTF">2026-08-28T01:50:18Z</dcterms:modified>
</cp:coreProperties>
</file>